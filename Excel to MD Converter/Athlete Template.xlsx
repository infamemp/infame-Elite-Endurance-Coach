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hel\Downloads\"/>
    </mc:Choice>
  </mc:AlternateContent>
  <xr:revisionPtr revIDLastSave="0" documentId="13_ncr:1_{84A3CFD8-550D-4791-A57E-F22E24B70E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  <sheet name="Intervals_Impor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0" i="1" l="1"/>
  <c r="D190" i="1"/>
  <c r="C190" i="1"/>
  <c r="B190" i="1"/>
  <c r="A190" i="1"/>
  <c r="E189" i="1"/>
  <c r="D189" i="1"/>
  <c r="C189" i="1"/>
  <c r="B189" i="1"/>
  <c r="A189" i="1"/>
  <c r="E188" i="1"/>
  <c r="D188" i="1"/>
  <c r="C188" i="1"/>
  <c r="B188" i="1"/>
  <c r="A188" i="1"/>
  <c r="E187" i="1"/>
  <c r="D187" i="1"/>
  <c r="C187" i="1"/>
  <c r="B187" i="1"/>
  <c r="A187" i="1"/>
  <c r="E186" i="1"/>
  <c r="D186" i="1"/>
  <c r="C186" i="1"/>
  <c r="B186" i="1"/>
  <c r="A186" i="1"/>
  <c r="E185" i="1"/>
  <c r="D185" i="1"/>
  <c r="C185" i="1"/>
  <c r="B185" i="1"/>
  <c r="A185" i="1"/>
  <c r="E184" i="1"/>
  <c r="D184" i="1"/>
  <c r="C184" i="1"/>
  <c r="B184" i="1"/>
  <c r="A184" i="1"/>
  <c r="E183" i="1"/>
  <c r="D183" i="1"/>
  <c r="C183" i="1"/>
  <c r="B183" i="1"/>
  <c r="A183" i="1"/>
  <c r="E182" i="1"/>
  <c r="D182" i="1"/>
  <c r="C182" i="1"/>
  <c r="B182" i="1"/>
  <c r="A182" i="1"/>
  <c r="E181" i="1"/>
  <c r="D181" i="1"/>
  <c r="C181" i="1"/>
  <c r="B181" i="1"/>
  <c r="A181" i="1"/>
  <c r="E180" i="1"/>
  <c r="D180" i="1"/>
  <c r="C180" i="1"/>
  <c r="B180" i="1"/>
  <c r="A180" i="1"/>
  <c r="E179" i="1"/>
  <c r="D179" i="1"/>
  <c r="C179" i="1"/>
  <c r="B179" i="1"/>
  <c r="A179" i="1"/>
  <c r="E178" i="1"/>
  <c r="D178" i="1"/>
  <c r="C178" i="1"/>
  <c r="B178" i="1"/>
  <c r="A178" i="1"/>
  <c r="E177" i="1"/>
  <c r="D177" i="1"/>
  <c r="C177" i="1"/>
  <c r="B177" i="1"/>
  <c r="A177" i="1"/>
  <c r="E176" i="1"/>
  <c r="D176" i="1"/>
  <c r="C176" i="1"/>
  <c r="B176" i="1"/>
  <c r="A176" i="1"/>
  <c r="E175" i="1"/>
  <c r="D175" i="1"/>
  <c r="C175" i="1"/>
  <c r="B175" i="1"/>
  <c r="A175" i="1"/>
  <c r="E174" i="1"/>
  <c r="D174" i="1"/>
  <c r="C174" i="1"/>
  <c r="B174" i="1"/>
  <c r="A174" i="1"/>
  <c r="E173" i="1"/>
  <c r="D173" i="1"/>
  <c r="C173" i="1"/>
  <c r="B173" i="1"/>
  <c r="A173" i="1"/>
  <c r="E172" i="1"/>
  <c r="D172" i="1"/>
  <c r="C172" i="1"/>
  <c r="B172" i="1"/>
  <c r="A172" i="1"/>
  <c r="E171" i="1"/>
  <c r="D171" i="1"/>
  <c r="C171" i="1"/>
  <c r="B171" i="1"/>
  <c r="A171" i="1"/>
  <c r="B33" i="1"/>
</calcChain>
</file>

<file path=xl/sharedStrings.xml><?xml version="1.0" encoding="utf-8"?>
<sst xmlns="http://schemas.openxmlformats.org/spreadsheetml/2006/main" count="1625" uniqueCount="873">
  <si>
    <t># ATHLETE PROFILE</t>
  </si>
  <si>
    <t>Age:</t>
  </si>
  <si>
    <t>Weight (kg):</t>
  </si>
  <si>
    <t>Sex:</t>
  </si>
  <si>
    <t>Male</t>
  </si>
  <si>
    <t>Training Status:</t>
  </si>
  <si>
    <t>Active</t>
  </si>
  <si>
    <t>==============</t>
  </si>
  <si>
    <t># PREFERENCES</t>
  </si>
  <si>
    <t>Measurement system:</t>
  </si>
  <si>
    <t>Metric</t>
  </si>
  <si>
    <t>Language:</t>
  </si>
  <si>
    <t>Español Mexico</t>
  </si>
  <si>
    <t># AVAILABILITY</t>
  </si>
  <si>
    <t>Max Hours/Week - Cycling:</t>
  </si>
  <si>
    <t>Max Hours/Week - Running:</t>
  </si>
  <si>
    <t># METHODOLOGY LEVERAGE</t>
  </si>
  <si>
    <t>Cycling:</t>
  </si>
  <si>
    <t>Joe Friel</t>
  </si>
  <si>
    <t>Running:</t>
  </si>
  <si>
    <t>Jack Daniels</t>
  </si>
  <si>
    <t>Trail Running:</t>
  </si>
  <si>
    <t>Koop</t>
  </si>
  <si>
    <t>Taper:</t>
  </si>
  <si>
    <t>Mujika</t>
  </si>
  <si>
    <t># RETURN CONTEXT (complete only if Training Status = Returning)</t>
  </si>
  <si>
    <t>Return Context:</t>
  </si>
  <si>
    <t>Weeks Since Active:</t>
  </si>
  <si>
    <t># FITNESS METRICS</t>
  </si>
  <si>
    <t>Date of metrics:</t>
  </si>
  <si>
    <t>Fitness:</t>
  </si>
  <si>
    <t>Fatigue:</t>
  </si>
  <si>
    <t>Form:</t>
  </si>
  <si>
    <t># CYCLING</t>
  </si>
  <si>
    <t>## Road</t>
  </si>
  <si>
    <t>FTP (w):</t>
  </si>
  <si>
    <t>No Powermeter</t>
  </si>
  <si>
    <t>LTHR (bpm):</t>
  </si>
  <si>
    <t>## MTB</t>
  </si>
  <si>
    <t>## Trainer / Indoor</t>
  </si>
  <si>
    <t># RUNNING</t>
  </si>
  <si>
    <t>## Road Running</t>
  </si>
  <si>
    <t>FTP / CP (w):</t>
  </si>
  <si>
    <t>LT Pace (min/km):</t>
  </si>
  <si>
    <t>MaxHR (bpm):</t>
  </si>
  <si>
    <t>## Trail Running</t>
  </si>
  <si>
    <t>## Treadmill / Indoor</t>
  </si>
  <si>
    <t># TRAINING DAYS</t>
  </si>
  <si>
    <t>Mon:</t>
  </si>
  <si>
    <t>Running</t>
  </si>
  <si>
    <t>Tue:</t>
  </si>
  <si>
    <t>Long Ride (Prefer MTB)</t>
  </si>
  <si>
    <t>Wed:</t>
  </si>
  <si>
    <t>Trainer</t>
  </si>
  <si>
    <t>Thu:</t>
  </si>
  <si>
    <t>Fri:</t>
  </si>
  <si>
    <t>Sat:</t>
  </si>
  <si>
    <t>Long Run (TrailRun)</t>
  </si>
  <si>
    <t>Sun:</t>
  </si>
  <si>
    <t>Rest and Recovery</t>
  </si>
  <si>
    <t># RACE CALENDAR</t>
  </si>
  <si>
    <t>Name:</t>
  </si>
  <si>
    <t>GP500</t>
  </si>
  <si>
    <t>Date:</t>
  </si>
  <si>
    <t>Sport:</t>
  </si>
  <si>
    <t>Road Bike</t>
  </si>
  <si>
    <t>Distance:</t>
  </si>
  <si>
    <t>123 km</t>
  </si>
  <si>
    <t>Priority (A/B/C):</t>
  </si>
  <si>
    <t>A</t>
  </si>
  <si>
    <t>Survival</t>
  </si>
  <si>
    <t>MTB</t>
  </si>
  <si>
    <t>76 km</t>
  </si>
  <si>
    <t>C</t>
  </si>
  <si>
    <t>Xicotebike</t>
  </si>
  <si>
    <t>50 km</t>
  </si>
  <si>
    <t>Huamantla</t>
  </si>
  <si>
    <t>75 km</t>
  </si>
  <si>
    <t>B</t>
  </si>
  <si>
    <t>Villahermosa</t>
  </si>
  <si>
    <t>55 km</t>
  </si>
  <si>
    <t>Reto Vulkano</t>
  </si>
  <si>
    <t>TrailRun</t>
  </si>
  <si>
    <t>14 km</t>
  </si>
  <si>
    <t>Titan Desert Stage 1</t>
  </si>
  <si>
    <t>83 km</t>
  </si>
  <si>
    <t>Titan Desert Stage 2</t>
  </si>
  <si>
    <t>89 km</t>
  </si>
  <si>
    <t>Titan Desert Stage 3</t>
  </si>
  <si>
    <t>105 km</t>
  </si>
  <si>
    <t>Titan Desert Stage 4</t>
  </si>
  <si>
    <t>112 km</t>
  </si>
  <si>
    <t>Mar a Mar Stage 1</t>
  </si>
  <si>
    <t>36 km</t>
  </si>
  <si>
    <t>Mar a Mar Stage 2</t>
  </si>
  <si>
    <t>35 km</t>
  </si>
  <si>
    <t>Mar a Mar Stage 3</t>
  </si>
  <si>
    <t>32 km</t>
  </si>
  <si>
    <t># Recent Activities</t>
  </si>
  <si>
    <t>Activity</t>
  </si>
  <si>
    <t>Date</t>
  </si>
  <si>
    <t>Intensity</t>
  </si>
  <si>
    <t>Load</t>
  </si>
  <si>
    <t>Duration (seconds)</t>
  </si>
  <si>
    <t>====</t>
  </si>
  <si>
    <t>id</t>
  </si>
  <si>
    <t>start_date_local</t>
  </si>
  <si>
    <t>name</t>
  </si>
  <si>
    <t>type</t>
  </si>
  <si>
    <t>moving_time</t>
  </si>
  <si>
    <t>distance</t>
  </si>
  <si>
    <t>elapsed_time</t>
  </si>
  <si>
    <t>total_elevation_gain</t>
  </si>
  <si>
    <t>max_speed</t>
  </si>
  <si>
    <t>average_speed</t>
  </si>
  <si>
    <t>has_heartrate</t>
  </si>
  <si>
    <t>max_heartrate</t>
  </si>
  <si>
    <t>average_heartrate</t>
  </si>
  <si>
    <t>average_cadence</t>
  </si>
  <si>
    <t>calories</t>
  </si>
  <si>
    <t>device_watts</t>
  </si>
  <si>
    <t>icu_average_watts</t>
  </si>
  <si>
    <t>icu_normalized_watts</t>
  </si>
  <si>
    <t>icu_joules</t>
  </si>
  <si>
    <t>icu_intensity</t>
  </si>
  <si>
    <t>icu_training_load</t>
  </si>
  <si>
    <t>icu_training_load_edited</t>
  </si>
  <si>
    <t>icu_rpe</t>
  </si>
  <si>
    <t>pace</t>
  </si>
  <si>
    <t>icu_fatigue</t>
  </si>
  <si>
    <t>icu_fitness</t>
  </si>
  <si>
    <t>icu_eftp</t>
  </si>
  <si>
    <t>icu_variability</t>
  </si>
  <si>
    <t>icu_efficiency</t>
  </si>
  <si>
    <t>trainer</t>
  </si>
  <si>
    <t>commute</t>
  </si>
  <si>
    <t>race</t>
  </si>
  <si>
    <t>sub_type</t>
  </si>
  <si>
    <t>icu_ftp</t>
  </si>
  <si>
    <t>icu_w_prime</t>
  </si>
  <si>
    <t>p_max</t>
  </si>
  <si>
    <t>threshold_pace</t>
  </si>
  <si>
    <t>power_load</t>
  </si>
  <si>
    <t>hr_load</t>
  </si>
  <si>
    <t>pace_load</t>
  </si>
  <si>
    <t>icu_resting_hr</t>
  </si>
  <si>
    <t>lthr</t>
  </si>
  <si>
    <t>hr_z1</t>
  </si>
  <si>
    <t>hr_z2</t>
  </si>
  <si>
    <t>hr_z3</t>
  </si>
  <si>
    <t>hr_z4</t>
  </si>
  <si>
    <t>hr_z5</t>
  </si>
  <si>
    <t>hr_z6</t>
  </si>
  <si>
    <t>hr_max</t>
  </si>
  <si>
    <t>hr_z1_secs</t>
  </si>
  <si>
    <t>hr_z2_secs</t>
  </si>
  <si>
    <t>hr_z3_secs</t>
  </si>
  <si>
    <t>hr_z4_secs</t>
  </si>
  <si>
    <t>hr_z5_secs</t>
  </si>
  <si>
    <t>hr_z6_secs</t>
  </si>
  <si>
    <t>hr_z7_secs</t>
  </si>
  <si>
    <t>z1_secs</t>
  </si>
  <si>
    <t>z2_secs</t>
  </si>
  <si>
    <t>z3_secs</t>
  </si>
  <si>
    <t>z4_secs</t>
  </si>
  <si>
    <t>z5_secs</t>
  </si>
  <si>
    <t>z6_secs</t>
  </si>
  <si>
    <t>z7_secs</t>
  </si>
  <si>
    <t>sweet_spot_secs</t>
  </si>
  <si>
    <t>icu_weight</t>
  </si>
  <si>
    <t>icu_ignore_power</t>
  </si>
  <si>
    <t>icu_ignore_hr</t>
  </si>
  <si>
    <t>icu_ignore_time</t>
  </si>
  <si>
    <t>icu_recording_time</t>
  </si>
  <si>
    <t>icu_warmup_time</t>
  </si>
  <si>
    <t>icu_cooldown_time</t>
  </si>
  <si>
    <t>icu_hrrc</t>
  </si>
  <si>
    <t>icu_hrrc_start_bpm</t>
  </si>
  <si>
    <t>icu_power_spike_threshold</t>
  </si>
  <si>
    <t>icu_pm_ftp</t>
  </si>
  <si>
    <t>icu_pm_cp</t>
  </si>
  <si>
    <t>icu_pm_w_prime</t>
  </si>
  <si>
    <t>icu_pm_p_max</t>
  </si>
  <si>
    <t>start_date</t>
  </si>
  <si>
    <t>icu_sync_date</t>
  </si>
  <si>
    <t>timezone</t>
  </si>
  <si>
    <t>file_type</t>
  </si>
  <si>
    <t>external_id</t>
  </si>
  <si>
    <t>compliance</t>
  </si>
  <si>
    <t>gear</t>
  </si>
  <si>
    <t>description</t>
  </si>
  <si>
    <t>i151649498</t>
  </si>
  <si>
    <t>Endurance</t>
  </si>
  <si>
    <t>MountainBikeRide</t>
  </si>
  <si>
    <t>2026-05-26T11:38:38Z</t>
  </si>
  <si>
    <t>2026-05-26T15:29:01Z</t>
  </si>
  <si>
    <t>fit</t>
  </si>
  <si>
    <t>i151344183</t>
  </si>
  <si>
    <t>Base Aerobica + Strides</t>
  </si>
  <si>
    <t>Run</t>
  </si>
  <si>
    <t>2026-05-25T12:06:06Z</t>
  </si>
  <si>
    <t>2026-05-25T13:36:19Z</t>
  </si>
  <si>
    <t>i150808764</t>
  </si>
  <si>
    <t>ruta 23-may-26 11.90 km 1:35 hrs 32 mts 125 ppm</t>
  </si>
  <si>
    <t>2026-05-23T10:59:50Z</t>
  </si>
  <si>
    <t>2026-05-23T12:44:43Z</t>
  </si>
  <si>
    <t>i150566323</t>
  </si>
  <si>
    <t>Aerobico Cadencias</t>
  </si>
  <si>
    <t>VirtualRide</t>
  </si>
  <si>
    <t>2026-05-22T11:57:39Z</t>
  </si>
  <si>
    <t>2026-05-22T13:09:55Z</t>
  </si>
  <si>
    <t>i150313199</t>
  </si>
  <si>
    <t>Aerobico</t>
  </si>
  <si>
    <t>2026-05-21T12:07:35Z</t>
  </si>
  <si>
    <t>2026-05-21T13:43:17Z</t>
  </si>
  <si>
    <t>i150006334</t>
  </si>
  <si>
    <t>2026-05-20T11:59:13Z</t>
  </si>
  <si>
    <t>2026-05-20T12:59:37Z</t>
  </si>
  <si>
    <t>i149725420</t>
  </si>
  <si>
    <t>ruta 19-may-26 66 km 2:46 hrs 641 mts 164 w NP</t>
  </si>
  <si>
    <t>Ride</t>
  </si>
  <si>
    <t>2026-05-19T12:00:29Z</t>
  </si>
  <si>
    <t>2026-05-19T14:50:45Z</t>
  </si>
  <si>
    <t>i149430296</t>
  </si>
  <si>
    <t>Progresivo</t>
  </si>
  <si>
    <t>2026-05-18T14:53:56Z</t>
  </si>
  <si>
    <t>2026-05-18T16:28:55Z</t>
  </si>
  <si>
    <t>i148790011</t>
  </si>
  <si>
    <t>ruta 16-may-26 12 km 1:37 hrs 272 mts TEMPO</t>
  </si>
  <si>
    <t>2026-05-16T11:42:05Z</t>
  </si>
  <si>
    <t>2026-05-16T13:24:20Z</t>
  </si>
  <si>
    <t>i148374739</t>
  </si>
  <si>
    <t>Cadencias</t>
  </si>
  <si>
    <t>2026-05-15T06:04:47Z</t>
  </si>
  <si>
    <t>2026-05-15T07:05:33Z</t>
  </si>
  <si>
    <t>i148197164</t>
  </si>
  <si>
    <t>2026-05-14T12:54:41Z</t>
  </si>
  <si>
    <t>2026-05-14T14:05:59Z</t>
  </si>
  <si>
    <t>i147854125</t>
  </si>
  <si>
    <t>Escaleras Aerobicas</t>
  </si>
  <si>
    <t>2026-05-13T12:31:21Z</t>
  </si>
  <si>
    <t>2026-05-13T13:32:09Z</t>
  </si>
  <si>
    <t>i147629995</t>
  </si>
  <si>
    <t>ruta 12-may-26 57.7 km 3:24 hrs 699 mts Z2 alta 166 watts prom (NP)</t>
  </si>
  <si>
    <t>2026-05-12T14:31:12Z</t>
  </si>
  <si>
    <t>2026-05-12T18:08:28Z</t>
  </si>
  <si>
    <t>i147231314</t>
  </si>
  <si>
    <t>2026-05-11T12:14:12Z</t>
  </si>
  <si>
    <t>2026-05-11T13:19:56Z</t>
  </si>
  <si>
    <t>i146719042</t>
  </si>
  <si>
    <t>ruta 9-may-26 11 km 1:30 hrs 267 mts TEMPO</t>
  </si>
  <si>
    <t>2026-05-09T11:35:03Z</t>
  </si>
  <si>
    <t>2026-05-09T13:11:11Z</t>
  </si>
  <si>
    <t>i146382788</t>
  </si>
  <si>
    <t>Regenerativo</t>
  </si>
  <si>
    <t>2026-05-08T06:05:12Z</t>
  </si>
  <si>
    <t>2026-05-08T06:51:03Z</t>
  </si>
  <si>
    <t>i146188051</t>
  </si>
  <si>
    <t>Aerobico + Strides</t>
  </si>
  <si>
    <t>2026-05-07T12:04:32Z</t>
  </si>
  <si>
    <t>2026-05-07T13:02:37Z</t>
  </si>
  <si>
    <t>i145911155</t>
  </si>
  <si>
    <t>Fortalecimiento Muscular</t>
  </si>
  <si>
    <t>2026-05-06T12:57:16Z</t>
  </si>
  <si>
    <t>2026-05-06T13:58:16Z</t>
  </si>
  <si>
    <t>i145674084</t>
  </si>
  <si>
    <t>Aerobico Resistencia</t>
  </si>
  <si>
    <t>2026-05-05T13:38:08Z</t>
  </si>
  <si>
    <t>2026-05-05T16:09:16Z</t>
  </si>
  <si>
    <t>i145336282</t>
  </si>
  <si>
    <t>2026-05-04T12:08:18Z</t>
  </si>
  <si>
    <t>2026-05-04T22:55:11Z</t>
  </si>
  <si>
    <t>i144783140</t>
  </si>
  <si>
    <t>ruta 2-may-26 10.50 km 1:30 hrs 50mts</t>
  </si>
  <si>
    <t>2026-05-02T11:03:38Z</t>
  </si>
  <si>
    <t>2026-05-04T22:53:31Z</t>
  </si>
  <si>
    <t>i144466898</t>
  </si>
  <si>
    <t>Recuperacion Cadencias</t>
  </si>
  <si>
    <t>2026-05-01T06:00:50Z</t>
  </si>
  <si>
    <t>2026-05-01T06:51:43Z</t>
  </si>
  <si>
    <t>i144303408</t>
  </si>
  <si>
    <t>2026-04-30T12:08:54Z</t>
  </si>
  <si>
    <t>2026-05-04T22:53:30Z</t>
  </si>
  <si>
    <t>i144061357</t>
  </si>
  <si>
    <t>SST</t>
  </si>
  <si>
    <t>2026-04-29T13:12:44Z</t>
  </si>
  <si>
    <t>2026-04-29T14:33:32Z</t>
  </si>
  <si>
    <t>i143716493</t>
  </si>
  <si>
    <t>ruta 13-nov-25 40.50 km 2:37 hrs 459 mts</t>
  </si>
  <si>
    <t>2026-04-28T11:40:13Z</t>
  </si>
  <si>
    <t>2026-04-28T14:18:09Z</t>
  </si>
  <si>
    <t>i143463427</t>
  </si>
  <si>
    <t>Test</t>
  </si>
  <si>
    <t>2026-04-27T17:16:29Z</t>
  </si>
  <si>
    <t>i142833907</t>
  </si>
  <si>
    <t>2026-04-25T12:23:35Z</t>
  </si>
  <si>
    <t>i142557743</t>
  </si>
  <si>
    <t>Recuperacion</t>
  </si>
  <si>
    <t>2026-04-24T12:40:35Z</t>
  </si>
  <si>
    <t>2026-04-24T13:36:22Z</t>
  </si>
  <si>
    <t>i142273748</t>
  </si>
  <si>
    <t>2026-04-23T12:05:20Z</t>
  </si>
  <si>
    <t>2026-05-04T22:53:29Z</t>
  </si>
  <si>
    <t>i141926033</t>
  </si>
  <si>
    <t>Recuperacion Activa</t>
  </si>
  <si>
    <t>2026-04-22T06:21:07Z</t>
  </si>
  <si>
    <t>2026-04-22T06:57:18Z</t>
  </si>
  <si>
    <t>i141754070</t>
  </si>
  <si>
    <t>ruta 8-dic-23 48.80 km 3:16 hrs 710 mts</t>
  </si>
  <si>
    <t>2026-04-21T11:33:07Z</t>
  </si>
  <si>
    <t>2026-04-21T14:53:23Z</t>
  </si>
  <si>
    <t>i141418476</t>
  </si>
  <si>
    <t>2026-04-20T12:04:52Z</t>
  </si>
  <si>
    <t>2026-05-04T22:54:04Z</t>
  </si>
  <si>
    <t>i140881148</t>
  </si>
  <si>
    <t>ruta 18-abr-26 13 km 1:47 hrs 51 mts</t>
  </si>
  <si>
    <t>2026-04-18T11:30:46Z</t>
  </si>
  <si>
    <t>i140607598</t>
  </si>
  <si>
    <t>Intro a Tempo</t>
  </si>
  <si>
    <t>2026-04-17T11:21:10Z</t>
  </si>
  <si>
    <t>2026-04-17T13:07:18Z</t>
  </si>
  <si>
    <t>i140347421</t>
  </si>
  <si>
    <t>2026-04-16T12:06:09Z</t>
  </si>
  <si>
    <t>i140062593</t>
  </si>
  <si>
    <t>2026-04-15T13:10:19Z</t>
  </si>
  <si>
    <t>2026-04-15T13:56:30Z</t>
  </si>
  <si>
    <t>i139791260</t>
  </si>
  <si>
    <t>ruta 21-abr-25 50.7 km 3:15 hrs 629 mts</t>
  </si>
  <si>
    <t>2026-04-14T11:59:25Z</t>
  </si>
  <si>
    <t>2026-04-14T15:17:29Z</t>
  </si>
  <si>
    <t>i139454229</t>
  </si>
  <si>
    <t>2026-04-13T12:11:25Z</t>
  </si>
  <si>
    <t>2026-05-04T22:53:28Z</t>
  </si>
  <si>
    <t>i138919560</t>
  </si>
  <si>
    <t>Fondo Aerobico</t>
  </si>
  <si>
    <t>2026-04-11T11:54:59Z</t>
  </si>
  <si>
    <t>me fue imposible mantenerme en el rango de pulsaciones \n120-130 , muchas subidas</t>
  </si>
  <si>
    <t>i138698195</t>
  </si>
  <si>
    <t>Resistencia Aerobica</t>
  </si>
  <si>
    <t>2026-04-10T13:01:57Z</t>
  </si>
  <si>
    <t>2026-04-10T14:48:10Z</t>
  </si>
  <si>
    <t>i138418065</t>
  </si>
  <si>
    <t>2026-04-09T12:04:30Z</t>
  </si>
  <si>
    <t>i138104771</t>
  </si>
  <si>
    <t>2026-04-08T12:26:15Z</t>
  </si>
  <si>
    <t>2026-04-08T13:12:12Z</t>
  </si>
  <si>
    <t>i137878013</t>
  </si>
  <si>
    <t>ruta 16-dic-24 44 km 3:00 hrs 528 mts invertida</t>
  </si>
  <si>
    <t>2026-04-07T11:57:51Z</t>
  </si>
  <si>
    <t>2026-04-07T14:59:19Z</t>
  </si>
  <si>
    <t>i137611594</t>
  </si>
  <si>
    <t>2026-04-06T12:20:15Z</t>
  </si>
  <si>
    <t>i137149654</t>
  </si>
  <si>
    <t>2026-04-04T12:17:21Z</t>
  </si>
  <si>
    <t>2026-05-04T22:53:27Z</t>
  </si>
  <si>
    <t>i136934839</t>
  </si>
  <si>
    <t>Test #1 MAX 5'</t>
  </si>
  <si>
    <t>2026-04-03T13:22:32Z</t>
  </si>
  <si>
    <t>2026-04-03T14:29:30Z</t>
  </si>
  <si>
    <t>i136676489</t>
  </si>
  <si>
    <t>2026-04-02T12:12:41Z</t>
  </si>
  <si>
    <t>2026-04-02T12:48:34Z</t>
  </si>
  <si>
    <t>i136479422</t>
  </si>
  <si>
    <t>Test #1 MAX 20'</t>
  </si>
  <si>
    <t>2026-04-01T14:07:53Z</t>
  </si>
  <si>
    <t>2026-04-01T22:04:25Z</t>
  </si>
  <si>
    <t>i136165751</t>
  </si>
  <si>
    <t>Reactivador</t>
  </si>
  <si>
    <t>2026-03-31T12:37:08Z</t>
  </si>
  <si>
    <t>2026-04-01T22:03:57Z</t>
  </si>
  <si>
    <t>i135912496</t>
  </si>
  <si>
    <t>Reactivacion Aerobica</t>
  </si>
  <si>
    <t>2026-03-30T12:18:08Z</t>
  </si>
  <si>
    <t>i132262428</t>
  </si>
  <si>
    <t>Mini Across Hidalgo Etapa 3 carrera mtb</t>
  </si>
  <si>
    <t>2026-03-15T13:03:03Z</t>
  </si>
  <si>
    <t>i132007833</t>
  </si>
  <si>
    <t>Mini Across Hidalgo Etapa 2 carrera mtb</t>
  </si>
  <si>
    <t>2026-03-14T13:03:42Z</t>
  </si>
  <si>
    <t>i131762357</t>
  </si>
  <si>
    <t>Mini Across Hidalgo Etapa 1 carrera mtb</t>
  </si>
  <si>
    <t>2026-03-13T13:01:50Z</t>
  </si>
  <si>
    <t>2026-04-01T22:03:56Z</t>
  </si>
  <si>
    <t>i131500506</t>
  </si>
  <si>
    <t>Morning BTT</t>
  </si>
  <si>
    <t>2026-03-12T12:54:20Z</t>
  </si>
  <si>
    <t>i149453266</t>
  </si>
  <si>
    <t>Morning Ciclismo virtual</t>
  </si>
  <si>
    <t>2025-12-28T13:07:38Z</t>
  </si>
  <si>
    <t>2026-05-18T17:21:39Z</t>
  </si>
  <si>
    <t>i96663978</t>
  </si>
  <si>
    <t>Zwift - Recuperacion Activa XCROSS on Flat Route in Watopia</t>
  </si>
  <si>
    <t>2025-09-09T12:09:59Z</t>
  </si>
  <si>
    <t>i96417093</t>
  </si>
  <si>
    <t>Zwift - RECUPERACION ACTIVA Z 1 on Ocean Lava Cliffside Loop in Watopia</t>
  </si>
  <si>
    <t>2025-09-07T21:40:09Z</t>
  </si>
  <si>
    <t>i96371277</t>
  </si>
  <si>
    <t>Morning Ride</t>
  </si>
  <si>
    <t>2025-09-07T15:12:38Z</t>
  </si>
  <si>
    <t>2026-04-01T22:03:55Z</t>
  </si>
  <si>
    <t>i96363662</t>
  </si>
  <si>
    <t>L'Etape Puebla 2025 carrera ruta corta</t>
  </si>
  <si>
    <t>2025-09-07T12:31:14Z</t>
  </si>
  <si>
    <t>i95873980</t>
  </si>
  <si>
    <t>Zwift - Rodillo Recuperacion on Figure 8 in Watopia</t>
  </si>
  <si>
    <t>2025-09-04T13:47:33Z</t>
  </si>
  <si>
    <t>i95527587</t>
  </si>
  <si>
    <t>Zwift - Pre-competencia (rodillo) on Jungle Circuit in Watopia</t>
  </si>
  <si>
    <t>2025-09-02T15:24:45Z</t>
  </si>
  <si>
    <t>2026-04-01T22:03:54Z</t>
  </si>
  <si>
    <t>i95199514</t>
  </si>
  <si>
    <t>Gran Premio Miguel Arroyo 2025 carrera ruta corta</t>
  </si>
  <si>
    <t>2025-08-31T13:05:06Z</t>
  </si>
  <si>
    <t>i95019620</t>
  </si>
  <si>
    <t>Zwift - Pre-competencia (rodillo) on Flat Route in Watopia</t>
  </si>
  <si>
    <t>2025-08-30T13:56:22Z</t>
  </si>
  <si>
    <t>i94721330</t>
  </si>
  <si>
    <t>Zwift - Active Recovery e on Jungle Circuit in Watopia</t>
  </si>
  <si>
    <t>2025-08-28T15:00:18Z</t>
  </si>
  <si>
    <t>i94323418</t>
  </si>
  <si>
    <t>Zwift - RECUPERACION ACTIVA Z 1 on Beach Island Loop in Watopia</t>
  </si>
  <si>
    <t>2025-08-26T12:47:11Z</t>
  </si>
  <si>
    <t>2026-04-01T22:03:53Z</t>
  </si>
  <si>
    <t>i94000572</t>
  </si>
  <si>
    <t>Zwift - Recuperacion Activa XCROSS on Hilly Route in Watopia</t>
  </si>
  <si>
    <t>2025-08-24T14:05:29Z</t>
  </si>
  <si>
    <t>i93649310</t>
  </si>
  <si>
    <t>Morning MTB</t>
  </si>
  <si>
    <t>2025-08-22T12:14:56Z</t>
  </si>
  <si>
    <t>i93498847</t>
  </si>
  <si>
    <t>8 km Z2 alta</t>
  </si>
  <si>
    <t>2025-08-21T14:00:34Z</t>
  </si>
  <si>
    <t>i93482143</t>
  </si>
  <si>
    <t>Zwift - SR 6 : Fondo c/cambio de ritmo  on Figure 8 in Watopia</t>
  </si>
  <si>
    <t>2025-08-21T12:04:10Z</t>
  </si>
  <si>
    <t>2026-04-01T22:03:52Z</t>
  </si>
  <si>
    <t>i93402603</t>
  </si>
  <si>
    <t>Zwift - SR 7 : (Z1-Z2-Z3-Z4) x 3 on Flat Route in Watopia</t>
  </si>
  <si>
    <t>2025-08-20T23:56:09Z</t>
  </si>
  <si>
    <t>i93312639</t>
  </si>
  <si>
    <t>Zwift - Fondo Largo Z2 on Jungle Circuit in Watopia</t>
  </si>
  <si>
    <t>2025-08-20T11:27:00Z</t>
  </si>
  <si>
    <t>i93133201</t>
  </si>
  <si>
    <t>Zwift - Z2 -  1:00 hrs   on Ocean Lava Cliffside Loop in Watopia</t>
  </si>
  <si>
    <t>2025-08-19T12:42:23Z</t>
  </si>
  <si>
    <t>2026-04-01T22:03:51Z</t>
  </si>
  <si>
    <t>i92800746</t>
  </si>
  <si>
    <t>Zwift - Intervalos 2 x 15 min Z2  on Flat Route in Watopia</t>
  </si>
  <si>
    <t>2025-08-17T11:53:33Z</t>
  </si>
  <si>
    <t>2026-04-01T22:03:50Z</t>
  </si>
  <si>
    <t>i92707685</t>
  </si>
  <si>
    <t>Zwift - SR 8 :  5 x 4 - 5 x 6 modificab on Volcano Flat in Watopia</t>
  </si>
  <si>
    <t>2025-08-16T21:25:52Z</t>
  </si>
  <si>
    <t>i92650717</t>
  </si>
  <si>
    <t>Zwift - SR 4 + Fondo on Beach Island Loop in Watopia</t>
  </si>
  <si>
    <t>2025-08-16T13:01:51Z</t>
  </si>
  <si>
    <t>i92374474</t>
  </si>
  <si>
    <t>Zwift - SR 2 : (3x3) x 2  / 25 min on Sand And Sequoias in Watopia</t>
  </si>
  <si>
    <t>2025-08-14T16:13:36Z</t>
  </si>
  <si>
    <t>2026-04-01T22:03:49Z</t>
  </si>
  <si>
    <t>i92342972</t>
  </si>
  <si>
    <t>Santa Maria Atexcac Speed Factory</t>
  </si>
  <si>
    <t>2025-08-14T12:45:45Z</t>
  </si>
  <si>
    <t>i92193368</t>
  </si>
  <si>
    <t>Zwift - Active Recovery E on Ocean Lava Cliffside Loop in Watopia</t>
  </si>
  <si>
    <t>2025-08-13T15:33:24Z</t>
  </si>
  <si>
    <t>i91999031</t>
  </si>
  <si>
    <t>Zwift - SR 12 : Fondo Largo 5 x 11 / 3  on Hilly Route in Watopia</t>
  </si>
  <si>
    <t>2025-08-12T16:01:07Z</t>
  </si>
  <si>
    <t>2026-04-01T22:03:48Z</t>
  </si>
  <si>
    <t>i91630658</t>
  </si>
  <si>
    <t>Zwift - Z2 -  1:20 hrs   modificable on Sand And Sequoias in Watopia</t>
  </si>
  <si>
    <t>2025-08-10T12:47:20Z</t>
  </si>
  <si>
    <t>i91517360</t>
  </si>
  <si>
    <t>2025-08-09T17:59:31Z</t>
  </si>
  <si>
    <t>i91488395</t>
  </si>
  <si>
    <t>Xalitzintla con giant store</t>
  </si>
  <si>
    <t>2025-08-09T13:09:41Z</t>
  </si>
  <si>
    <t>2026-04-01T22:03:47Z</t>
  </si>
  <si>
    <t>i91204087</t>
  </si>
  <si>
    <t>2025-08-07T15:58:53Z</t>
  </si>
  <si>
    <t>i91188789</t>
  </si>
  <si>
    <t>6 km Z2 alta</t>
  </si>
  <si>
    <t>2025-08-07T13:16:01Z</t>
  </si>
  <si>
    <t>i91043647</t>
  </si>
  <si>
    <t>Zwift - Recuperacion Activa XCROSS on Figure 8 in Watopia</t>
  </si>
  <si>
    <t>2025-08-06T16:12:19Z</t>
  </si>
  <si>
    <t>i91028145</t>
  </si>
  <si>
    <t>2025-08-06T11:15:11Z</t>
  </si>
  <si>
    <t>2026-04-01T22:03:46Z</t>
  </si>
  <si>
    <t>i90814944</t>
  </si>
  <si>
    <t>2025-08-05T13:44:59Z</t>
  </si>
  <si>
    <t>i90808398</t>
  </si>
  <si>
    <t>Belén 5 x 400</t>
  </si>
  <si>
    <t>2025-08-05T12:33:54Z</t>
  </si>
  <si>
    <t>2026-05-04T22:53:26Z</t>
  </si>
  <si>
    <t>i90584727</t>
  </si>
  <si>
    <t>Zwift - Recuperacion Activa XCROSS on Beach Island Loop in Watopia</t>
  </si>
  <si>
    <t>2025-08-04T02:20:29Z</t>
  </si>
  <si>
    <t>i90557263</t>
  </si>
  <si>
    <t>Tepeojuma con Israel y Speed Factory</t>
  </si>
  <si>
    <t>2025-08-03T12:58:23Z</t>
  </si>
  <si>
    <t>2026-04-01T22:03:45Z</t>
  </si>
  <si>
    <t>i90079824</t>
  </si>
  <si>
    <t>7 km Z2 alta</t>
  </si>
  <si>
    <t>2025-07-31T17:15:37Z</t>
  </si>
  <si>
    <t>i89713073</t>
  </si>
  <si>
    <t>Zwift - Recuperacion Activa XCROSS on Whole Lotta Lava in Watopia</t>
  </si>
  <si>
    <t>2025-07-29T13:45:18Z</t>
  </si>
  <si>
    <t>i89699320</t>
  </si>
  <si>
    <t>Belen 5 x 400</t>
  </si>
  <si>
    <t>2025-07-29T12:13:25Z</t>
  </si>
  <si>
    <t>i89461347</t>
  </si>
  <si>
    <t>2025-07-27T21:10:15Z</t>
  </si>
  <si>
    <t>i89429319</t>
  </si>
  <si>
    <t>Rodada de reconocimiento 75 km  GPMA Huamantla</t>
  </si>
  <si>
    <t>2025-07-27T13:32:57Z</t>
  </si>
  <si>
    <t>i89102041</t>
  </si>
  <si>
    <t>2025-07-25T11:24:06Z</t>
  </si>
  <si>
    <t>2026-04-01T22:03:44Z</t>
  </si>
  <si>
    <t>i88957901</t>
  </si>
  <si>
    <t>Zwift - RECUPERACION ACTIVA Z 1 on Figure 8 in Watopia</t>
  </si>
  <si>
    <t>2025-07-24T14:00:47Z</t>
  </si>
  <si>
    <t>i88945733</t>
  </si>
  <si>
    <t>2025-07-24T12:05:48Z</t>
  </si>
  <si>
    <t>2026-05-04T22:53:25Z</t>
  </si>
  <si>
    <t>i88794949</t>
  </si>
  <si>
    <t>ruta 10-jun-25 28 km 1:45 hrs 280 mts</t>
  </si>
  <si>
    <t>2025-07-23T11:26:02Z</t>
  </si>
  <si>
    <t>i88715337</t>
  </si>
  <si>
    <t>2025-07-22T21:53:02Z</t>
  </si>
  <si>
    <t>i88642213</t>
  </si>
  <si>
    <t>Zwift - Ella Harris - Clim Powre modifi on Hilly Route in Watopia</t>
  </si>
  <si>
    <t>2025-07-22T12:54:44Z</t>
  </si>
  <si>
    <t>2026-04-01T22:03:43Z</t>
  </si>
  <si>
    <t>i88470780</t>
  </si>
  <si>
    <t>2025-07-21T11:50:45Z</t>
  </si>
  <si>
    <t>i88232680</t>
  </si>
  <si>
    <t>2025-07-20T01:27:33Z</t>
  </si>
  <si>
    <t>i88181552</t>
  </si>
  <si>
    <t>2025-07-19T12:47:50Z</t>
  </si>
  <si>
    <t>i87995581</t>
  </si>
  <si>
    <t>2025-07-18T11:34:49Z</t>
  </si>
  <si>
    <t>2026-04-01T22:03:42Z</t>
  </si>
  <si>
    <t>i87860523</t>
  </si>
  <si>
    <t>Zwift - Z2 -  1:10 hrs  on Hilly Route in Watopia</t>
  </si>
  <si>
    <t>2025-07-17T13:43:50Z</t>
  </si>
  <si>
    <t>i87702811</t>
  </si>
  <si>
    <t>Zwift - Intervalos 2 x 15 min Z2  on 2018 Worlds Short Lap in Innsbruck</t>
  </si>
  <si>
    <t>2025-07-16T14:27:28Z</t>
  </si>
  <si>
    <t>2026-04-01T22:03:41Z</t>
  </si>
  <si>
    <t>i87685584</t>
  </si>
  <si>
    <t>2025-07-16T11:42:14Z</t>
  </si>
  <si>
    <t>i87543032</t>
  </si>
  <si>
    <t>Zwift - Ella Harris - Climbing Power E on Flat Route in Watopia</t>
  </si>
  <si>
    <t>2025-07-15T14:26:05Z</t>
  </si>
  <si>
    <t>i87366362</t>
  </si>
  <si>
    <t>ruta 14-jul-25 25 km 1:35 hrs 240 mts</t>
  </si>
  <si>
    <t>2025-07-14T11:25:34Z</t>
  </si>
  <si>
    <t>2026-04-01T22:03:40Z</t>
  </si>
  <si>
    <t>i87101790</t>
  </si>
  <si>
    <t>Zwift - Gran Fondo 6 corto modificable on Beach Island Loop in Watopia</t>
  </si>
  <si>
    <t>2025-07-12T13:53:20Z</t>
  </si>
  <si>
    <t>i86946910</t>
  </si>
  <si>
    <t>ruta 11-jul-25 17 km 1:08 hrs 128 mts recuperacion</t>
  </si>
  <si>
    <t>2025-07-11T11:23:48Z</t>
  </si>
  <si>
    <t>2026-04-01T22:03:39Z</t>
  </si>
  <si>
    <t>i86836247</t>
  </si>
  <si>
    <t>2025-07-10T15:47:37Z</t>
  </si>
  <si>
    <t>i86825528</t>
  </si>
  <si>
    <t>ruta 10-jul-25 67 km 4:15 hrs 792 mts</t>
  </si>
  <si>
    <t>2025-07-10T10:57:07Z</t>
  </si>
  <si>
    <t>i86696571</t>
  </si>
  <si>
    <t>Zwift - SR 7 : (Z1-Z2-Z3-Z4) x 3 on Beach Island Loop in Watopia</t>
  </si>
  <si>
    <t>2025-07-09T14:50:54Z</t>
  </si>
  <si>
    <t>i86526732</t>
  </si>
  <si>
    <t>Morning MountainBikeRide</t>
  </si>
  <si>
    <t>2025-07-08T11:04:09Z</t>
  </si>
  <si>
    <t>2026-04-01T22:03:38Z</t>
  </si>
  <si>
    <t>i86402633</t>
  </si>
  <si>
    <t>2025-07-07T14:06:32Z</t>
  </si>
  <si>
    <t>i86283606</t>
  </si>
  <si>
    <t>Carrera Ibero Puebla 5 km 2025</t>
  </si>
  <si>
    <t>2025-07-06T13:00:54Z</t>
  </si>
  <si>
    <t>i86136505</t>
  </si>
  <si>
    <t>Zwift - SR 11 : 22 x 1 / 1:30 min on Flat Route in Watopia</t>
  </si>
  <si>
    <t>2025-07-05T13:41:40Z</t>
  </si>
  <si>
    <t>i85834226</t>
  </si>
  <si>
    <t>Zwift - SR 1 :  (3x7 ) x 2 / 3 min on Flat Route in Watopia</t>
  </si>
  <si>
    <t>2025-07-03T12:34:34Z</t>
  </si>
  <si>
    <t>2026-04-01T22:03:37Z</t>
  </si>
  <si>
    <t>i85665834</t>
  </si>
  <si>
    <t>2025-07-02T12:14:13Z</t>
  </si>
  <si>
    <t>i85532909</t>
  </si>
  <si>
    <t>Zwift - SR 4 : (2.00-1.30-1.00-0.30) x3 on Whole Lotta Lava in Watopia</t>
  </si>
  <si>
    <t>2025-07-01T13:24:51Z</t>
  </si>
  <si>
    <t>2026-04-01T22:03:36Z</t>
  </si>
  <si>
    <t>i85111921</t>
  </si>
  <si>
    <t>Zwift - Recuperacion Activa XCROSS on Tempus Fugit in Watopia</t>
  </si>
  <si>
    <t>2025-06-28T13:04:41Z</t>
  </si>
  <si>
    <t>i84864093</t>
  </si>
  <si>
    <t>Zwift - Intervalos 2 x 3 minmodificable on Tempus Fugit in Watopia</t>
  </si>
  <si>
    <t>2025-06-26T15:05:35Z</t>
  </si>
  <si>
    <t>i84700663</t>
  </si>
  <si>
    <t>2025-06-25T13:48:09Z</t>
  </si>
  <si>
    <t>2026-04-01T22:03:35Z</t>
  </si>
  <si>
    <t>i84536592</t>
  </si>
  <si>
    <t>Zwift - Intervalos 4 x 2 min modificabl on Figure 8 in Watopia</t>
  </si>
  <si>
    <t>2025-06-24T15:25:45Z</t>
  </si>
  <si>
    <t>i84391658</t>
  </si>
  <si>
    <t>Zwift - Recuperacion Activa XCROSS on Valley to Mountaintop in Makuri Islands</t>
  </si>
  <si>
    <t>2025-06-23T16:53:57Z</t>
  </si>
  <si>
    <t>i84096608</t>
  </si>
  <si>
    <t>Zwift - Veredas Coquetas 2 modificable on Whole Lotta Lava in Watopia</t>
  </si>
  <si>
    <t>2025-06-21T11:58:51Z</t>
  </si>
  <si>
    <t>2026-04-01T22:03:34Z</t>
  </si>
  <si>
    <t>i83962463</t>
  </si>
  <si>
    <t>Zwift - Intervalo largo Z2 baja on Jungle Circuit in Watopia</t>
  </si>
  <si>
    <t>2025-06-20T13:24:43Z</t>
  </si>
  <si>
    <t>i83830909</t>
  </si>
  <si>
    <t>Zwift - Day 5 on Jungle Circuit in Watopia</t>
  </si>
  <si>
    <t>2025-06-19T14:50:55Z</t>
  </si>
  <si>
    <t>2026-04-01T22:03:33Z</t>
  </si>
  <si>
    <t>i83651242</t>
  </si>
  <si>
    <t>2025-06-18T13:16:50Z</t>
  </si>
  <si>
    <t>i83646461</t>
  </si>
  <si>
    <t>Zwift - Training Zones e on Sand And Sequoias in Watopia</t>
  </si>
  <si>
    <t>2025-06-18T12:24:41Z</t>
  </si>
  <si>
    <t>i83506580</t>
  </si>
  <si>
    <t>Zwift - Easy Hour on Whole Lotta Lava in Watopia</t>
  </si>
  <si>
    <t>2025-06-17T14:11:10Z</t>
  </si>
  <si>
    <t>2026-04-01T22:03:32Z</t>
  </si>
  <si>
    <t>i83291544</t>
  </si>
  <si>
    <t>Zwift - Training Zones on Whole Lotta Lava in Watopia</t>
  </si>
  <si>
    <t>2025-06-16T00:51:16Z</t>
  </si>
  <si>
    <t>i83243455</t>
  </si>
  <si>
    <t>Zwift - Intervalos (10 Min) x 4 on Volcano Flat in Watopia</t>
  </si>
  <si>
    <t>2025-06-15T14:10:11Z</t>
  </si>
  <si>
    <t>i83150715</t>
  </si>
  <si>
    <t>Zwift - Recuperacion Activa XCROSS on Sand And Sequoias in Watopia</t>
  </si>
  <si>
    <t>2025-06-15T00:53:10Z</t>
  </si>
  <si>
    <t>2026-04-01T22:03:31Z</t>
  </si>
  <si>
    <t>i83096178</t>
  </si>
  <si>
    <t>Zwift - Intervalo 2x(5x2 min) XCROSS25 on Figure 8 in Watopia</t>
  </si>
  <si>
    <t>2025-06-14T12:46:29Z</t>
  </si>
  <si>
    <t>i82954300</t>
  </si>
  <si>
    <t>Zwift - Tempo 30+30 /4:00 min IR on Figure 8 in Watopia</t>
  </si>
  <si>
    <t>2025-06-13T12:47:14Z</t>
  </si>
  <si>
    <t>i82736109</t>
  </si>
  <si>
    <t>Zwift - Recuperacion Activa XCROSS on Jungle Circuit in Watopia</t>
  </si>
  <si>
    <t>2025-06-11T23:37:49Z</t>
  </si>
  <si>
    <t>2026-04-01T22:03:30Z</t>
  </si>
  <si>
    <t>i82666422</t>
  </si>
  <si>
    <t>la piedra Atlixco- trébol autopista siglo XXI</t>
  </si>
  <si>
    <t>2025-06-11T11:25:47Z</t>
  </si>
  <si>
    <t>i82573502</t>
  </si>
  <si>
    <t>2025-06-11T00:17:36Z</t>
  </si>
  <si>
    <t>i82478584</t>
  </si>
  <si>
    <t>ruta 10-jun-25 28 km 1:45 hrs 279 mts</t>
  </si>
  <si>
    <t>2025-06-10T11:43:14Z</t>
  </si>
  <si>
    <t>2026-04-01T22:03:29Z</t>
  </si>
  <si>
    <t>i82246932</t>
  </si>
  <si>
    <t>Rodada de reconocimiento 100 km  GPMA Huamantla</t>
  </si>
  <si>
    <t>2025-06-08T13:19:01Z</t>
  </si>
  <si>
    <t>i81899058</t>
  </si>
  <si>
    <t>2025-06-06T11:51:18Z</t>
  </si>
  <si>
    <t>i81744049</t>
  </si>
  <si>
    <t>2025-06-05T11:57:16Z</t>
  </si>
  <si>
    <t>i81520683</t>
  </si>
  <si>
    <t>Zwift - Z2 -  1:00 hrs   on 2019 Worlds Harrogate Circuit in Yorkshire</t>
  </si>
  <si>
    <t>2025-06-03T23:48:44Z</t>
  </si>
  <si>
    <t>2026-04-01T22:03:28Z</t>
  </si>
  <si>
    <t>i81423644</t>
  </si>
  <si>
    <t>Zwift - Intervalo 2x(5x2 min) XCROSS25 on Sand And Sequoias in Watopia</t>
  </si>
  <si>
    <t>2025-06-03T12:16:40Z</t>
  </si>
  <si>
    <t>i81354278</t>
  </si>
  <si>
    <t>Zwift - Zone 2 #1 e on Hilly Route in Watopia</t>
  </si>
  <si>
    <t>2025-06-03T03:31:37Z</t>
  </si>
  <si>
    <t>i81269340</t>
  </si>
  <si>
    <t>Zwift - SR 6 : Fondo c/cambio de ritmo  on Tempus Fugit in Watopia</t>
  </si>
  <si>
    <t>2025-06-02T13:37:46Z</t>
  </si>
  <si>
    <t>2026-04-01T22:03:27Z</t>
  </si>
  <si>
    <t>i80981205</t>
  </si>
  <si>
    <t>2025-05-31T12:16:59Z</t>
  </si>
  <si>
    <t>i80976408</t>
  </si>
  <si>
    <t>Zwift - SR 3 : 30 - 30 s + on Figure 8 in Watopia</t>
  </si>
  <si>
    <t>2025-05-31T11:09:17Z</t>
  </si>
  <si>
    <t>i80835618</t>
  </si>
  <si>
    <t>2025-05-30T12:03:34Z</t>
  </si>
  <si>
    <t>2026-04-01T22:03:26Z</t>
  </si>
  <si>
    <t>i80379453</t>
  </si>
  <si>
    <t>2025-05-27T12:34:47Z</t>
  </si>
  <si>
    <t>i80263671</t>
  </si>
  <si>
    <t>2025-05-26T15:11:09Z</t>
  </si>
  <si>
    <t>i80238174</t>
  </si>
  <si>
    <t>2025-05-26T11:58:55Z</t>
  </si>
  <si>
    <t>2026-04-01T22:03:25Z</t>
  </si>
  <si>
    <t>i79953521</t>
  </si>
  <si>
    <t>Morning Run</t>
  </si>
  <si>
    <t>2025-05-24T13:42:56Z</t>
  </si>
  <si>
    <t>i79932439</t>
  </si>
  <si>
    <t>Zwift - SS 2 X 25 min / 2 min IR on Tempus Fugit in Watopia</t>
  </si>
  <si>
    <t>2025-05-24T10:10:54Z</t>
  </si>
  <si>
    <t>i79789596</t>
  </si>
  <si>
    <t>2025-05-23T11:37:21Z</t>
  </si>
  <si>
    <t>i79678893</t>
  </si>
  <si>
    <t>2025-05-22T14:29:39Z</t>
  </si>
  <si>
    <t>2026-04-01T22:03:24Z</t>
  </si>
  <si>
    <t>i79672914</t>
  </si>
  <si>
    <t>Zwift - Elias 4x4  min Z4  + 10 min Z3 on Flat Route in Watopia</t>
  </si>
  <si>
    <t>2025-05-22T13:02:16Z</t>
  </si>
  <si>
    <t>i79352325</t>
  </si>
  <si>
    <t>2025-05-20T11:14:05Z</t>
  </si>
  <si>
    <t>i79233339</t>
  </si>
  <si>
    <t>Zwift - Recuperacion Activa XCROSS on Volcano Flat in Watopia</t>
  </si>
  <si>
    <t>2025-05-19T16:44:37Z</t>
  </si>
  <si>
    <t>2026-04-01T22:03:23Z</t>
  </si>
  <si>
    <t>i79211941</t>
  </si>
  <si>
    <t>ruta 19-may-25 86 km 4:24 hrs 1240 mts</t>
  </si>
  <si>
    <t>GravelRide</t>
  </si>
  <si>
    <t>2025-05-19T11:47:29Z</t>
  </si>
  <si>
    <t>i79211888</t>
  </si>
  <si>
    <t>Morning GravelRide</t>
  </si>
  <si>
    <t>2025-05-19T11:41:45Z</t>
  </si>
  <si>
    <t>i78929714</t>
  </si>
  <si>
    <t>Morning WeightTraining</t>
  </si>
  <si>
    <t>WeightTraining</t>
  </si>
  <si>
    <t>2025-05-17T14:25:25Z</t>
  </si>
  <si>
    <t>2025-05-17T15:01:15Z</t>
  </si>
  <si>
    <t>i78920345</t>
  </si>
  <si>
    <t>Zwift - SST 2X 20 e on Hilly Route in Watopia</t>
  </si>
  <si>
    <t>2025-05-17T11:31:50Z</t>
  </si>
  <si>
    <t>2026-04-01T22:03:22Z</t>
  </si>
  <si>
    <t>i78770125</t>
  </si>
  <si>
    <t>2025-05-16T11:46:37Z</t>
  </si>
  <si>
    <t>i78651566</t>
  </si>
  <si>
    <t>2025-05-15T13:16:39Z</t>
  </si>
  <si>
    <t>i78644406</t>
  </si>
  <si>
    <t>Zwift - Tempo 4X 12:20 min/1min IR on Jungle Circuit in Watopia</t>
  </si>
  <si>
    <t>2025-05-15T11:47:03Z</t>
  </si>
  <si>
    <t>2026-04-01T22:03:21Z</t>
  </si>
  <si>
    <t>i78356876</t>
  </si>
  <si>
    <t>2025-05-13T15:57:02Z</t>
  </si>
  <si>
    <t>i78333527</t>
  </si>
  <si>
    <t>ruta 13-may-25 73.50 km 3:32 hrs 962 mts</t>
  </si>
  <si>
    <t>2025-05-13T11:38:16Z</t>
  </si>
  <si>
    <t>i78174860</t>
  </si>
  <si>
    <t>2025-05-12T14:07:17Z</t>
  </si>
  <si>
    <t>2026-04-01T22:03:20Z</t>
  </si>
  <si>
    <t>i78166637</t>
  </si>
  <si>
    <t>ruta 13-ene-24 47.5 km 2:58 hrs 589 mts</t>
  </si>
  <si>
    <t>2025-05-12T11:42:17Z</t>
  </si>
  <si>
    <t>i77721768</t>
  </si>
  <si>
    <t>2025-05-09T13:18:16Z</t>
  </si>
  <si>
    <t>i77708732</t>
  </si>
  <si>
    <t>ruta 5-may-25 21 km 1:30 hrs 169 mts 110 ppm</t>
  </si>
  <si>
    <t>2025-05-09T11:43:05Z</t>
  </si>
  <si>
    <t>2026-04-01T22:03:19Z</t>
  </si>
  <si>
    <t>i77415042</t>
  </si>
  <si>
    <t>2025-05-07T12:47:50Z</t>
  </si>
  <si>
    <t>i77400827</t>
  </si>
  <si>
    <t>ruta 5-may-25 21 km 1:30 hrs 167 mts 110 ppm</t>
  </si>
  <si>
    <t>2025-05-07T11:40:06Z</t>
  </si>
  <si>
    <t>i77171815</t>
  </si>
  <si>
    <t>ruta 5-may-25 21 km 1:30 hrs 165 mts 105 ppm</t>
  </si>
  <si>
    <t>2025-05-05T11:42:49Z</t>
  </si>
  <si>
    <t>i77171816</t>
  </si>
  <si>
    <t>2025-05-03T15:18:38Z</t>
  </si>
  <si>
    <t>2025-05-06T02:16:59Z</t>
  </si>
  <si>
    <t>i77171817</t>
  </si>
  <si>
    <t>2025-05-03T11:45:49Z</t>
  </si>
  <si>
    <t>2026-04-01T22:03:18Z</t>
  </si>
  <si>
    <t>i77171818</t>
  </si>
  <si>
    <t>ruta 29-abr-24 70 km 3:05 hrs 808 mts</t>
  </si>
  <si>
    <t>2025-04-29T11:56:36Z</t>
  </si>
  <si>
    <t>i77171819</t>
  </si>
  <si>
    <t>ruta 28-abr-25 48 km 3:06 hrs 652 mts</t>
  </si>
  <si>
    <t>2025-04-28T12:20:35Z</t>
  </si>
  <si>
    <t>i77171821</t>
  </si>
  <si>
    <t>ruta 26-abr-25 27 km 1:52 hrs 355 mts</t>
  </si>
  <si>
    <t>2025-04-26T11:49:15Z</t>
  </si>
  <si>
    <t>i77171822</t>
  </si>
  <si>
    <t>Afternoon WeightTraining</t>
  </si>
  <si>
    <t>2025-04-22T23:37:08Z</t>
  </si>
  <si>
    <t>2025-05-06T02:17:07Z</t>
  </si>
  <si>
    <t>i77171823</t>
  </si>
  <si>
    <t>ruta 22-abr-25 48.30 km 2:11 hrs 529 mts 125 ppm</t>
  </si>
  <si>
    <t>2025-04-22T11:56:45Z</t>
  </si>
  <si>
    <t>2026-04-01T22:03:17Z</t>
  </si>
  <si>
    <t>i77171824</t>
  </si>
  <si>
    <t>ruta 21-abr-25 50.70 km 3:15 hrs 629 mts</t>
  </si>
  <si>
    <t>2025-04-21T12:29:21Z</t>
  </si>
  <si>
    <t>i77171826</t>
  </si>
  <si>
    <t>2025-04-17T11:55:47Z</t>
  </si>
  <si>
    <t>i77171828</t>
  </si>
  <si>
    <t>2025-04-11T12:28:57Z</t>
  </si>
  <si>
    <t>2025-05-06T02:17:11Z</t>
  </si>
  <si>
    <t>i77171829</t>
  </si>
  <si>
    <t>2025-04-08T11:50:59Z</t>
  </si>
  <si>
    <t>i77171830</t>
  </si>
  <si>
    <t>Ruta 7-abr-25 51.70  km 3:45 hrs  732 mts</t>
  </si>
  <si>
    <t>2025-04-07T11:55:48Z</t>
  </si>
  <si>
    <t>2026-04-01T22:03:16Z</t>
  </si>
  <si>
    <t>i77171831</t>
  </si>
  <si>
    <t>2025-04-04T12:03:27Z</t>
  </si>
  <si>
    <t>i77171836</t>
  </si>
  <si>
    <t>2025-04-01T13:01:17Z</t>
  </si>
  <si>
    <t>i77171837</t>
  </si>
  <si>
    <t>2025-03-31T15:28:19Z</t>
  </si>
  <si>
    <t>2025-05-06T02:17:15Z</t>
  </si>
  <si>
    <t>i77171838</t>
  </si>
  <si>
    <t>2025-03-28T12:36:26Z</t>
  </si>
  <si>
    <t>i77171839</t>
  </si>
  <si>
    <t>2025-03-25T14:40:42Z</t>
  </si>
  <si>
    <t>2025-05-06T02:17:18Z</t>
  </si>
  <si>
    <t>i77171842</t>
  </si>
  <si>
    <t>2025-03-25T12:58:38Z</t>
  </si>
  <si>
    <t>2026-04-01T22:03:15Z</t>
  </si>
  <si>
    <t>i77171843</t>
  </si>
  <si>
    <t>2025-03-18T12:21:39Z</t>
  </si>
  <si>
    <t>2025-05-06T02:17:21Z</t>
  </si>
  <si>
    <t>i77171847</t>
  </si>
  <si>
    <t>ruta 17-mar-25 41.8 km 3:00 hrs 675 mts</t>
  </si>
  <si>
    <t>2025-03-17T12:33:17Z</t>
  </si>
  <si>
    <t>i77171848</t>
  </si>
  <si>
    <t>2025-03-15T12:02:09Z</t>
  </si>
  <si>
    <t>i77171851</t>
  </si>
  <si>
    <t>Veracruz viaje Caballero Lopez</t>
  </si>
  <si>
    <t>2025-03-13T11:06:37Z</t>
  </si>
  <si>
    <t>i77171852</t>
  </si>
  <si>
    <t>2025-03-12T11:27:27Z</t>
  </si>
  <si>
    <t>2026-04-01T22:03:14Z</t>
  </si>
  <si>
    <t>i77171853</t>
  </si>
  <si>
    <t>ruta 28-feb-25 29 km 1:55 hrs 314 mts</t>
  </si>
  <si>
    <t>2025-03-06T12:34:25Z</t>
  </si>
  <si>
    <t>i77171854</t>
  </si>
  <si>
    <t>ruta 5-mar-25 13 km 1:04 hrs 336 mts 5  REPETICIONES</t>
  </si>
  <si>
    <t>2025-03-05T12:56:26Z</t>
  </si>
  <si>
    <t>i77171857</t>
  </si>
  <si>
    <t>2025-03-04T13:00:26Z</t>
  </si>
  <si>
    <t>2026-04-01T22:03:13Z</t>
  </si>
  <si>
    <t>i77171858</t>
  </si>
  <si>
    <t>2025-02-28T12:31:42Z</t>
  </si>
  <si>
    <t>i77171859</t>
  </si>
  <si>
    <t>2025-02-26T14:23:50Z</t>
  </si>
  <si>
    <t>2025-05-06T02:17:28Z</t>
  </si>
  <si>
    <t>i77171861</t>
  </si>
  <si>
    <t>2025-02-24T12:23:42Z</t>
  </si>
  <si>
    <t>2025-05-06T02:17:29Z</t>
  </si>
  <si>
    <t>i77171862</t>
  </si>
  <si>
    <t>2025-02-22T12:48:38Z</t>
  </si>
  <si>
    <t>i77171866</t>
  </si>
  <si>
    <t>Evening Hike</t>
  </si>
  <si>
    <t>Hike</t>
  </si>
  <si>
    <t>2025-02-18T00:56:17Z</t>
  </si>
  <si>
    <t>2025-05-06T02:17:35Z</t>
  </si>
  <si>
    <t>i77171867</t>
  </si>
  <si>
    <t>falsa cima Malinche</t>
  </si>
  <si>
    <t>2025-02-13T13:13:39Z</t>
  </si>
  <si>
    <t>2025-05-06T02:17:36Z</t>
  </si>
  <si>
    <t>i77171868</t>
  </si>
  <si>
    <t>2025-02-11T12:46:45Z</t>
  </si>
  <si>
    <t>i77171869</t>
  </si>
  <si>
    <t>2025-02-11T01:39:30Z</t>
  </si>
  <si>
    <t>2025-05-06T02:17:39Z</t>
  </si>
  <si>
    <t>i77171871</t>
  </si>
  <si>
    <t>La joyita</t>
  </si>
  <si>
    <t>2025-02-09T13:39:07Z</t>
  </si>
  <si>
    <t>2025-05-06T02:17:40Z</t>
  </si>
  <si>
    <t>i77171872</t>
  </si>
  <si>
    <t>Ozolco</t>
  </si>
  <si>
    <t>2025-02-08T14:10:20Z</t>
  </si>
  <si>
    <t>2026-04-01T22:03:12Z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</si>
</sst>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&quot;-&quot;mm&quot;-&quot;dd"/>
    <numFmt numFmtId="165" formatCode="0.0"/>
    <numFmt numFmtId="166" formatCode="yyyy\-mm\-dd\ hh:mm:ss"/>
  </numFmts>
  <fonts count="1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1"/>
      <color theme="1"/>
      <name val="Arial"/>
    </font>
    <font>
      <sz val="10"/>
      <color rgb="FFFFFFFF"/>
      <name val="Arial"/>
    </font>
    <font>
      <sz val="9"/>
      <color rgb="FF000000"/>
      <name val="Roboto"/>
    </font>
    <font>
      <sz val="9"/>
      <color rgb="FF1976D2"/>
      <name val="Roboto"/>
    </font>
    <font>
      <sz val="9"/>
      <color rgb="FF6633CC"/>
      <name val="Roboto"/>
    </font>
    <font>
      <sz val="9"/>
      <color rgb="FF999999"/>
      <name val="Roboto"/>
    </font>
    <font>
      <sz val="9"/>
      <color rgb="FF34ACE4"/>
      <name val="Roboto"/>
    </font>
    <font>
      <i/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5695"/>
        <bgColor rgb="FF005695"/>
      </patternFill>
    </fill>
    <fill>
      <patternFill patternType="solid">
        <fgColor rgb="FFFFFFFF"/>
        <bgColor rgb="FFFFFFFF"/>
      </patternFill>
    </fill>
    <fill>
      <patternFill patternType="solid">
        <fgColor rgb="FFFA56DB"/>
        <bgColor rgb="FFFA56DB"/>
      </patternFill>
    </fill>
    <fill>
      <patternFill patternType="solid">
        <fgColor rgb="FFF7BC4C"/>
        <bgColor rgb="FFF7BC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left"/>
    </xf>
    <xf numFmtId="164" fontId="6" fillId="0" borderId="0" xfId="0" applyNumberFormat="1" applyFont="1" applyAlignment="1">
      <alignment horizontal="left"/>
    </xf>
    <xf numFmtId="0" fontId="7" fillId="2" borderId="0" xfId="0" applyFont="1" applyFill="1" applyAlignment="1">
      <alignment horizontal="left"/>
    </xf>
    <xf numFmtId="0" fontId="8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0" fontId="10" fillId="3" borderId="0" xfId="0" applyFont="1" applyFill="1" applyAlignment="1">
      <alignment horizontal="left"/>
    </xf>
    <xf numFmtId="0" fontId="11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9" fillId="3" borderId="0" xfId="0" applyFont="1" applyFill="1" applyAlignment="1">
      <alignment horizontal="center"/>
    </xf>
    <xf numFmtId="21" fontId="3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left"/>
    </xf>
    <xf numFmtId="166" fontId="1" fillId="0" borderId="0" xfId="0" applyNumberFormat="1" applyFon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89"/>
  <sheetViews>
    <sheetView tabSelected="1" workbookViewId="0">
      <selection activeCell="A2" sqref="A2"/>
    </sheetView>
  </sheetViews>
  <sheetFormatPr defaultColWidth="12.5703125" defaultRowHeight="15.75" customHeight="1" x14ac:dyDescent="0.2"/>
  <cols>
    <col min="1" max="1" width="62.85546875" bestFit="1" customWidth="1"/>
    <col min="2" max="2" width="20.5703125" bestFit="1" customWidth="1"/>
    <col min="3" max="3" width="10.5703125" bestFit="1" customWidth="1"/>
    <col min="4" max="4" width="6.85546875" bestFit="1" customWidth="1"/>
    <col min="5" max="5" width="22.5703125" bestFit="1" customWidth="1"/>
  </cols>
  <sheetData>
    <row r="1" spans="1:4" ht="12.75" x14ac:dyDescent="0.2">
      <c r="A1" s="1"/>
      <c r="B1" s="1"/>
      <c r="C1" s="1"/>
      <c r="D1" s="1"/>
    </row>
    <row r="2" spans="1:4" ht="15.75" customHeight="1" x14ac:dyDescent="0.25">
      <c r="A2" s="2" t="s">
        <v>0</v>
      </c>
      <c r="B2" s="1"/>
      <c r="C2" s="1"/>
      <c r="D2" s="1"/>
    </row>
    <row r="3" spans="1:4" ht="12.75" x14ac:dyDescent="0.2">
      <c r="A3" s="1"/>
      <c r="B3" s="1"/>
      <c r="C3" s="1"/>
      <c r="D3" s="1"/>
    </row>
    <row r="4" spans="1:4" ht="12.75" x14ac:dyDescent="0.2">
      <c r="A4" s="1" t="s">
        <v>1</v>
      </c>
      <c r="B4" s="1">
        <v>50</v>
      </c>
      <c r="C4" s="1"/>
      <c r="D4" s="1"/>
    </row>
    <row r="5" spans="1:4" ht="12.75" x14ac:dyDescent="0.2">
      <c r="A5" s="1" t="s">
        <v>2</v>
      </c>
      <c r="B5" s="1">
        <v>95</v>
      </c>
      <c r="C5" s="1"/>
      <c r="D5" s="1"/>
    </row>
    <row r="6" spans="1:4" ht="12.75" x14ac:dyDescent="0.2">
      <c r="A6" s="3" t="s">
        <v>3</v>
      </c>
      <c r="B6" s="1" t="s">
        <v>4</v>
      </c>
      <c r="C6" s="1"/>
      <c r="D6" s="1"/>
    </row>
    <row r="7" spans="1:4" ht="12.75" x14ac:dyDescent="0.2">
      <c r="A7" s="3" t="s">
        <v>5</v>
      </c>
      <c r="B7" s="3" t="s">
        <v>6</v>
      </c>
      <c r="C7" s="1"/>
      <c r="D7" s="1"/>
    </row>
    <row r="8" spans="1:4" ht="12.75" x14ac:dyDescent="0.2">
      <c r="A8" s="3"/>
      <c r="B8" s="3"/>
      <c r="C8" s="1"/>
      <c r="D8" s="1"/>
    </row>
    <row r="9" spans="1:4" ht="12.75" x14ac:dyDescent="0.2">
      <c r="A9" s="4" t="s">
        <v>7</v>
      </c>
      <c r="B9" s="4" t="s">
        <v>7</v>
      </c>
      <c r="C9" s="1"/>
      <c r="D9" s="1"/>
    </row>
    <row r="10" spans="1:4" ht="12.75" x14ac:dyDescent="0.2">
      <c r="A10" s="5" t="s">
        <v>8</v>
      </c>
      <c r="B10" s="1"/>
      <c r="C10" s="1"/>
      <c r="D10" s="1"/>
    </row>
    <row r="11" spans="1:4" ht="12.75" x14ac:dyDescent="0.2">
      <c r="A11" s="3" t="s">
        <v>9</v>
      </c>
      <c r="B11" s="1" t="s">
        <v>10</v>
      </c>
      <c r="C11" s="1"/>
      <c r="D11" s="1"/>
    </row>
    <row r="12" spans="1:4" ht="12.75" x14ac:dyDescent="0.2">
      <c r="A12" s="6" t="s">
        <v>11</v>
      </c>
      <c r="B12" s="6" t="s">
        <v>12</v>
      </c>
      <c r="C12" s="1"/>
      <c r="D12" s="1"/>
    </row>
    <row r="13" spans="1:4" ht="12.75" x14ac:dyDescent="0.2">
      <c r="A13" s="3"/>
      <c r="B13" s="3"/>
      <c r="C13" s="1"/>
      <c r="D13" s="1"/>
    </row>
    <row r="14" spans="1:4" ht="12.75" x14ac:dyDescent="0.2">
      <c r="A14" s="4" t="s">
        <v>7</v>
      </c>
      <c r="B14" s="4" t="s">
        <v>7</v>
      </c>
      <c r="C14" s="1"/>
      <c r="D14" s="1"/>
    </row>
    <row r="15" spans="1:4" ht="12.75" x14ac:dyDescent="0.2">
      <c r="A15" s="5" t="s">
        <v>13</v>
      </c>
      <c r="B15" s="3"/>
      <c r="C15" s="1"/>
      <c r="D15" s="1"/>
    </row>
    <row r="16" spans="1:4" ht="12.75" x14ac:dyDescent="0.2">
      <c r="A16" s="6" t="s">
        <v>14</v>
      </c>
      <c r="B16" s="3">
        <v>8</v>
      </c>
      <c r="C16" s="1"/>
      <c r="D16" s="1"/>
    </row>
    <row r="17" spans="1:4" ht="12.75" x14ac:dyDescent="0.2">
      <c r="A17" s="6" t="s">
        <v>15</v>
      </c>
      <c r="B17" s="3">
        <v>5</v>
      </c>
      <c r="C17" s="1"/>
      <c r="D17" s="1"/>
    </row>
    <row r="18" spans="1:4" ht="12.75" x14ac:dyDescent="0.2">
      <c r="A18" s="3"/>
      <c r="B18" s="3"/>
      <c r="C18" s="1"/>
      <c r="D18" s="1"/>
    </row>
    <row r="19" spans="1:4" ht="12.75" x14ac:dyDescent="0.2">
      <c r="A19" s="4" t="s">
        <v>7</v>
      </c>
      <c r="B19" s="4" t="s">
        <v>7</v>
      </c>
      <c r="C19" s="1"/>
      <c r="D19" s="1"/>
    </row>
    <row r="20" spans="1:4" ht="12.75" x14ac:dyDescent="0.2">
      <c r="A20" s="5" t="s">
        <v>16</v>
      </c>
      <c r="C20" s="1"/>
      <c r="D20" s="1"/>
    </row>
    <row r="21" spans="1:4" ht="12.75" x14ac:dyDescent="0.2">
      <c r="A21" s="3" t="s">
        <v>17</v>
      </c>
      <c r="B21" s="1" t="s">
        <v>18</v>
      </c>
      <c r="C21" s="1"/>
      <c r="D21" s="1"/>
    </row>
    <row r="22" spans="1:4" ht="12.75" x14ac:dyDescent="0.2">
      <c r="A22" s="3" t="s">
        <v>19</v>
      </c>
      <c r="B22" s="1" t="s">
        <v>20</v>
      </c>
      <c r="C22" s="1"/>
      <c r="D22" s="1"/>
    </row>
    <row r="23" spans="1:4" ht="12.75" x14ac:dyDescent="0.2">
      <c r="A23" s="3" t="s">
        <v>21</v>
      </c>
      <c r="B23" s="1" t="s">
        <v>22</v>
      </c>
      <c r="C23" s="1"/>
      <c r="D23" s="1"/>
    </row>
    <row r="24" spans="1:4" ht="12.75" x14ac:dyDescent="0.2">
      <c r="A24" s="3" t="s">
        <v>23</v>
      </c>
      <c r="B24" s="1" t="s">
        <v>24</v>
      </c>
      <c r="C24" s="1"/>
      <c r="D24" s="1"/>
    </row>
    <row r="25" spans="1:4" ht="12.75" x14ac:dyDescent="0.2">
      <c r="A25" s="3"/>
      <c r="B25" s="3"/>
      <c r="C25" s="1"/>
      <c r="D25" s="1"/>
    </row>
    <row r="26" spans="1:4" ht="12.75" x14ac:dyDescent="0.2">
      <c r="A26" s="4" t="s">
        <v>7</v>
      </c>
      <c r="B26" s="4" t="s">
        <v>7</v>
      </c>
      <c r="C26" s="1"/>
      <c r="D26" s="1"/>
    </row>
    <row r="27" spans="1:4" ht="12.75" x14ac:dyDescent="0.2">
      <c r="A27" s="5" t="s">
        <v>25</v>
      </c>
      <c r="B27" s="1"/>
      <c r="C27" s="1"/>
      <c r="D27" s="1"/>
    </row>
    <row r="28" spans="1:4" ht="12.75" x14ac:dyDescent="0.2">
      <c r="A28" s="6" t="s">
        <v>26</v>
      </c>
      <c r="B28" s="1"/>
      <c r="C28" s="1"/>
      <c r="D28" s="1"/>
    </row>
    <row r="29" spans="1:4" ht="12.75" x14ac:dyDescent="0.2">
      <c r="A29" s="6" t="s">
        <v>27</v>
      </c>
      <c r="B29" s="1"/>
      <c r="C29" s="1"/>
      <c r="D29" s="1"/>
    </row>
    <row r="30" spans="1:4" ht="12.75" x14ac:dyDescent="0.2">
      <c r="A30" s="3"/>
      <c r="B30" s="3"/>
      <c r="C30" s="1"/>
      <c r="D30" s="1"/>
    </row>
    <row r="31" spans="1:4" ht="12.75" x14ac:dyDescent="0.2">
      <c r="A31" s="4" t="s">
        <v>7</v>
      </c>
      <c r="B31" s="4" t="s">
        <v>7</v>
      </c>
      <c r="C31" s="1"/>
      <c r="D31" s="1"/>
    </row>
    <row r="32" spans="1:4" ht="12.75" x14ac:dyDescent="0.2">
      <c r="A32" s="7" t="s">
        <v>28</v>
      </c>
      <c r="B32" s="1"/>
      <c r="C32" s="1"/>
      <c r="D32" s="1"/>
    </row>
    <row r="33" spans="1:7" ht="14.25" x14ac:dyDescent="0.2">
      <c r="A33" s="3" t="s">
        <v>29</v>
      </c>
      <c r="B33" s="8">
        <f ca="1">TODAY()</f>
        <v>46175</v>
      </c>
      <c r="C33" s="1"/>
      <c r="D33" s="1"/>
    </row>
    <row r="34" spans="1:7" ht="12.75" x14ac:dyDescent="0.2">
      <c r="A34" s="9" t="s">
        <v>30</v>
      </c>
      <c r="B34" s="1">
        <v>43</v>
      </c>
      <c r="C34" s="1"/>
      <c r="D34" s="10"/>
    </row>
    <row r="35" spans="1:7" ht="12.75" x14ac:dyDescent="0.2">
      <c r="A35" s="11" t="s">
        <v>31</v>
      </c>
      <c r="B35" s="1">
        <v>65</v>
      </c>
      <c r="C35" s="1"/>
      <c r="D35" s="10"/>
    </row>
    <row r="36" spans="1:7" ht="12.75" x14ac:dyDescent="0.2">
      <c r="A36" s="12" t="s">
        <v>32</v>
      </c>
      <c r="B36" s="3">
        <v>-22</v>
      </c>
      <c r="C36" s="1"/>
      <c r="D36" s="13"/>
    </row>
    <row r="37" spans="1:7" ht="12.75" x14ac:dyDescent="0.2">
      <c r="B37" s="1"/>
      <c r="C37" s="1"/>
      <c r="D37" s="13"/>
    </row>
    <row r="38" spans="1:7" ht="12.75" x14ac:dyDescent="0.2">
      <c r="A38" s="3"/>
      <c r="B38" s="1"/>
      <c r="C38" s="1"/>
      <c r="D38" s="14"/>
    </row>
    <row r="39" spans="1:7" ht="12.75" x14ac:dyDescent="0.2">
      <c r="A39" s="4" t="s">
        <v>7</v>
      </c>
      <c r="B39" s="4" t="s">
        <v>7</v>
      </c>
      <c r="C39" s="1"/>
      <c r="D39" s="1"/>
    </row>
    <row r="40" spans="1:7" ht="12.75" x14ac:dyDescent="0.2">
      <c r="A40" s="7" t="s">
        <v>33</v>
      </c>
      <c r="B40" s="3"/>
      <c r="C40" s="1"/>
      <c r="D40" s="1"/>
    </row>
    <row r="41" spans="1:7" ht="12.75" x14ac:dyDescent="0.2">
      <c r="A41" s="1" t="s">
        <v>34</v>
      </c>
      <c r="B41" s="3"/>
      <c r="C41" s="1"/>
      <c r="D41" s="1"/>
      <c r="G41" s="15"/>
    </row>
    <row r="42" spans="1:7" ht="12.75" x14ac:dyDescent="0.2">
      <c r="A42" s="1" t="s">
        <v>35</v>
      </c>
      <c r="B42" s="3" t="s">
        <v>36</v>
      </c>
      <c r="C42" s="1"/>
      <c r="D42" s="1"/>
      <c r="G42" s="15"/>
    </row>
    <row r="43" spans="1:7" ht="12.75" x14ac:dyDescent="0.2">
      <c r="A43" s="1" t="s">
        <v>37</v>
      </c>
      <c r="B43" s="3">
        <v>159</v>
      </c>
      <c r="C43" s="1"/>
      <c r="D43" s="1"/>
      <c r="G43" s="16"/>
    </row>
    <row r="44" spans="1:7" ht="12.75" x14ac:dyDescent="0.2">
      <c r="A44" s="1"/>
      <c r="B44" s="3"/>
      <c r="C44" s="1"/>
      <c r="D44" s="1"/>
      <c r="G44" s="17"/>
    </row>
    <row r="45" spans="1:7" ht="12.75" x14ac:dyDescent="0.2">
      <c r="A45" s="18" t="s">
        <v>38</v>
      </c>
      <c r="B45" s="3"/>
      <c r="C45" s="1"/>
      <c r="D45" s="1"/>
      <c r="G45" s="19"/>
    </row>
    <row r="46" spans="1:7" ht="12.75" x14ac:dyDescent="0.2">
      <c r="A46" s="1" t="s">
        <v>35</v>
      </c>
      <c r="B46" s="3">
        <v>228</v>
      </c>
      <c r="C46" s="1"/>
      <c r="D46" s="1"/>
      <c r="G46" s="19"/>
    </row>
    <row r="47" spans="1:7" ht="12.75" x14ac:dyDescent="0.2">
      <c r="A47" s="1" t="s">
        <v>37</v>
      </c>
      <c r="B47" s="3">
        <v>159</v>
      </c>
      <c r="C47" s="1"/>
      <c r="D47" s="1"/>
    </row>
    <row r="48" spans="1:7" ht="12.75" x14ac:dyDescent="0.2">
      <c r="A48" s="1"/>
      <c r="B48" s="3"/>
      <c r="C48" s="1"/>
      <c r="D48" s="1"/>
    </row>
    <row r="49" spans="1:4" ht="12.75" x14ac:dyDescent="0.2">
      <c r="A49" s="18" t="s">
        <v>39</v>
      </c>
      <c r="B49" s="3"/>
      <c r="C49" s="1"/>
      <c r="D49" s="1"/>
    </row>
    <row r="50" spans="1:4" ht="12.75" x14ac:dyDescent="0.2">
      <c r="A50" s="1" t="s">
        <v>35</v>
      </c>
      <c r="B50" s="3">
        <v>235</v>
      </c>
      <c r="C50" s="1"/>
      <c r="D50" s="1"/>
    </row>
    <row r="51" spans="1:4" ht="12.75" x14ac:dyDescent="0.2">
      <c r="A51" s="1" t="s">
        <v>37</v>
      </c>
      <c r="B51" s="3">
        <v>159</v>
      </c>
      <c r="C51" s="1"/>
      <c r="D51" s="1"/>
    </row>
    <row r="52" spans="1:4" ht="12.75" x14ac:dyDescent="0.2">
      <c r="A52" s="3"/>
      <c r="B52" s="3"/>
      <c r="C52" s="1"/>
      <c r="D52" s="1"/>
    </row>
    <row r="53" spans="1:4" ht="12.75" x14ac:dyDescent="0.2">
      <c r="A53" s="4" t="s">
        <v>7</v>
      </c>
      <c r="B53" s="4" t="s">
        <v>7</v>
      </c>
      <c r="C53" s="1"/>
      <c r="D53" s="1"/>
    </row>
    <row r="54" spans="1:4" ht="12.75" x14ac:dyDescent="0.2">
      <c r="A54" s="7" t="s">
        <v>40</v>
      </c>
      <c r="B54" s="3"/>
      <c r="C54" s="1"/>
      <c r="D54" s="1"/>
    </row>
    <row r="55" spans="1:4" ht="12.75" x14ac:dyDescent="0.2">
      <c r="A55" s="18" t="s">
        <v>41</v>
      </c>
      <c r="B55" s="3"/>
      <c r="C55" s="1"/>
      <c r="D55" s="1"/>
    </row>
    <row r="56" spans="1:4" ht="12.75" x14ac:dyDescent="0.2">
      <c r="A56" s="1" t="s">
        <v>42</v>
      </c>
      <c r="B56" s="3" t="s">
        <v>36</v>
      </c>
      <c r="C56" s="1"/>
      <c r="D56" s="1"/>
    </row>
    <row r="57" spans="1:4" ht="12.75" x14ac:dyDescent="0.2">
      <c r="A57" s="1" t="s">
        <v>43</v>
      </c>
      <c r="B57" s="20">
        <v>4.2245370370370371E-3</v>
      </c>
      <c r="C57" s="1"/>
      <c r="D57" s="1"/>
    </row>
    <row r="58" spans="1:4" ht="12.75" x14ac:dyDescent="0.2">
      <c r="A58" s="1" t="s">
        <v>37</v>
      </c>
      <c r="B58" s="3">
        <v>163</v>
      </c>
      <c r="C58" s="1"/>
      <c r="D58" s="1"/>
    </row>
    <row r="59" spans="1:4" ht="12.75" x14ac:dyDescent="0.2">
      <c r="A59" s="1" t="s">
        <v>44</v>
      </c>
      <c r="B59" s="3">
        <v>175</v>
      </c>
      <c r="C59" s="1"/>
      <c r="D59" s="1"/>
    </row>
    <row r="60" spans="1:4" ht="12.75" x14ac:dyDescent="0.2">
      <c r="A60" s="1"/>
      <c r="B60" s="3"/>
      <c r="C60" s="1"/>
      <c r="D60" s="1"/>
    </row>
    <row r="61" spans="1:4" ht="12.75" x14ac:dyDescent="0.2">
      <c r="A61" s="18" t="s">
        <v>45</v>
      </c>
      <c r="B61" s="3"/>
      <c r="C61" s="1"/>
      <c r="D61" s="1"/>
    </row>
    <row r="62" spans="1:4" ht="12.75" x14ac:dyDescent="0.2">
      <c r="A62" s="1" t="s">
        <v>42</v>
      </c>
      <c r="B62" s="3" t="s">
        <v>36</v>
      </c>
      <c r="C62" s="1"/>
      <c r="D62" s="1"/>
    </row>
    <row r="63" spans="1:4" ht="12.75" x14ac:dyDescent="0.2">
      <c r="A63" s="1" t="s">
        <v>43</v>
      </c>
      <c r="B63" s="20">
        <v>4.2245370370370371E-3</v>
      </c>
      <c r="C63" s="1"/>
      <c r="D63" s="1"/>
    </row>
    <row r="64" spans="1:4" ht="12.75" x14ac:dyDescent="0.2">
      <c r="A64" s="1" t="s">
        <v>37</v>
      </c>
      <c r="B64" s="3">
        <v>163</v>
      </c>
      <c r="C64" s="1"/>
      <c r="D64" s="1"/>
    </row>
    <row r="65" spans="1:4" ht="12.75" x14ac:dyDescent="0.2">
      <c r="A65" s="1"/>
      <c r="B65" s="3"/>
      <c r="C65" s="1"/>
      <c r="D65" s="1"/>
    </row>
    <row r="66" spans="1:4" ht="12.75" x14ac:dyDescent="0.2">
      <c r="A66" s="18" t="s">
        <v>46</v>
      </c>
      <c r="B66" s="3"/>
      <c r="C66" s="1"/>
      <c r="D66" s="1"/>
    </row>
    <row r="67" spans="1:4" ht="12.75" x14ac:dyDescent="0.2">
      <c r="A67" s="1" t="s">
        <v>42</v>
      </c>
      <c r="B67" s="3" t="s">
        <v>36</v>
      </c>
      <c r="C67" s="1"/>
      <c r="D67" s="1"/>
    </row>
    <row r="68" spans="1:4" ht="12.75" x14ac:dyDescent="0.2">
      <c r="A68" s="1" t="s">
        <v>43</v>
      </c>
      <c r="B68" s="20">
        <v>4.2245370370370371E-3</v>
      </c>
      <c r="C68" s="1"/>
      <c r="D68" s="1"/>
    </row>
    <row r="69" spans="1:4" ht="12.75" x14ac:dyDescent="0.2">
      <c r="A69" s="1" t="s">
        <v>37</v>
      </c>
      <c r="B69" s="3">
        <v>163</v>
      </c>
      <c r="C69" s="1"/>
      <c r="D69" s="1"/>
    </row>
    <row r="70" spans="1:4" ht="12.75" x14ac:dyDescent="0.2">
      <c r="A70" s="3"/>
      <c r="B70" s="3"/>
      <c r="C70" s="1"/>
      <c r="D70" s="1"/>
    </row>
    <row r="71" spans="1:4" ht="12.75" x14ac:dyDescent="0.2">
      <c r="A71" s="4" t="s">
        <v>7</v>
      </c>
      <c r="B71" s="4" t="s">
        <v>7</v>
      </c>
      <c r="C71" s="1"/>
      <c r="D71" s="1"/>
    </row>
    <row r="72" spans="1:4" ht="12.75" x14ac:dyDescent="0.2">
      <c r="A72" s="7" t="s">
        <v>47</v>
      </c>
      <c r="B72" s="3"/>
      <c r="C72" s="1"/>
      <c r="D72" s="1"/>
    </row>
    <row r="73" spans="1:4" ht="12.75" x14ac:dyDescent="0.2">
      <c r="A73" s="1" t="s">
        <v>48</v>
      </c>
      <c r="B73" s="3" t="s">
        <v>49</v>
      </c>
      <c r="C73" s="1"/>
      <c r="D73" s="1"/>
    </row>
    <row r="74" spans="1:4" ht="12.75" x14ac:dyDescent="0.2">
      <c r="A74" s="1" t="s">
        <v>50</v>
      </c>
      <c r="B74" s="3" t="s">
        <v>51</v>
      </c>
      <c r="C74" s="1"/>
      <c r="D74" s="1"/>
    </row>
    <row r="75" spans="1:4" ht="12.75" x14ac:dyDescent="0.2">
      <c r="A75" s="1" t="s">
        <v>52</v>
      </c>
      <c r="B75" s="3" t="s">
        <v>53</v>
      </c>
      <c r="C75" s="1"/>
      <c r="D75" s="1"/>
    </row>
    <row r="76" spans="1:4" ht="12.75" x14ac:dyDescent="0.2">
      <c r="A76" s="1" t="s">
        <v>54</v>
      </c>
      <c r="B76" s="3" t="s">
        <v>49</v>
      </c>
      <c r="C76" s="1"/>
      <c r="D76" s="1"/>
    </row>
    <row r="77" spans="1:4" ht="12.75" x14ac:dyDescent="0.2">
      <c r="A77" s="1" t="s">
        <v>55</v>
      </c>
      <c r="B77" s="3" t="s">
        <v>53</v>
      </c>
      <c r="C77" s="1"/>
      <c r="D77" s="1"/>
    </row>
    <row r="78" spans="1:4" ht="12.75" x14ac:dyDescent="0.2">
      <c r="A78" s="1" t="s">
        <v>56</v>
      </c>
      <c r="B78" s="3" t="s">
        <v>57</v>
      </c>
      <c r="C78" s="1"/>
      <c r="D78" s="1"/>
    </row>
    <row r="79" spans="1:4" ht="12.75" x14ac:dyDescent="0.2">
      <c r="A79" s="1" t="s">
        <v>58</v>
      </c>
      <c r="B79" s="3" t="s">
        <v>59</v>
      </c>
      <c r="C79" s="1"/>
      <c r="D79" s="1"/>
    </row>
    <row r="80" spans="1:4" ht="12.75" x14ac:dyDescent="0.2">
      <c r="A80" s="4" t="s">
        <v>7</v>
      </c>
      <c r="B80" s="4" t="s">
        <v>7</v>
      </c>
      <c r="C80" s="1"/>
      <c r="D80" s="1"/>
    </row>
    <row r="81" spans="1:5" ht="12.75" x14ac:dyDescent="0.2">
      <c r="A81" s="7"/>
      <c r="B81" s="1"/>
      <c r="C81" s="1"/>
      <c r="D81" s="1"/>
    </row>
    <row r="82" spans="1:5" ht="12.75" x14ac:dyDescent="0.2">
      <c r="A82" s="7" t="s">
        <v>60</v>
      </c>
      <c r="B82" s="1"/>
      <c r="C82" s="1"/>
      <c r="D82" s="1"/>
    </row>
    <row r="83" spans="1:5" ht="12.75" x14ac:dyDescent="0.2">
      <c r="B83" s="1"/>
      <c r="C83" s="1"/>
      <c r="D83" s="1"/>
    </row>
    <row r="84" spans="1:5" ht="14.25" x14ac:dyDescent="0.2">
      <c r="A84" s="3" t="s">
        <v>61</v>
      </c>
      <c r="B84" s="21" t="s">
        <v>62</v>
      </c>
      <c r="C84" s="1"/>
      <c r="D84" s="1"/>
    </row>
    <row r="85" spans="1:5" ht="14.25" x14ac:dyDescent="0.2">
      <c r="A85" s="3" t="s">
        <v>63</v>
      </c>
      <c r="B85" s="8">
        <v>46086</v>
      </c>
      <c r="C85" s="1"/>
      <c r="D85" s="1"/>
    </row>
    <row r="86" spans="1:5" ht="12.75" x14ac:dyDescent="0.2">
      <c r="A86" s="3" t="s">
        <v>64</v>
      </c>
      <c r="B86" s="3" t="s">
        <v>65</v>
      </c>
      <c r="C86" s="1"/>
      <c r="D86" s="1"/>
    </row>
    <row r="87" spans="1:5" ht="12.75" x14ac:dyDescent="0.2">
      <c r="A87" s="3" t="s">
        <v>66</v>
      </c>
      <c r="B87" s="3" t="s">
        <v>67</v>
      </c>
      <c r="C87" s="1"/>
      <c r="D87" s="1"/>
    </row>
    <row r="88" spans="1:5" ht="12.75" x14ac:dyDescent="0.2">
      <c r="A88" s="3" t="s">
        <v>68</v>
      </c>
      <c r="B88" s="3" t="s">
        <v>69</v>
      </c>
      <c r="C88" s="1"/>
      <c r="D88" s="1"/>
    </row>
    <row r="89" spans="1:5" ht="12.75" x14ac:dyDescent="0.2">
      <c r="A89" s="4" t="s">
        <v>7</v>
      </c>
      <c r="B89" s="4" t="s">
        <v>7</v>
      </c>
      <c r="C89" s="1"/>
      <c r="D89" s="1"/>
    </row>
    <row r="90" spans="1:5" ht="14.25" x14ac:dyDescent="0.2">
      <c r="A90" s="3" t="s">
        <v>61</v>
      </c>
      <c r="B90" s="21" t="s">
        <v>70</v>
      </c>
      <c r="C90" s="1"/>
      <c r="D90" s="1"/>
    </row>
    <row r="91" spans="1:5" ht="14.25" x14ac:dyDescent="0.2">
      <c r="A91" s="3" t="s">
        <v>63</v>
      </c>
      <c r="B91" s="8">
        <v>46187</v>
      </c>
      <c r="C91" s="1"/>
      <c r="D91" s="1"/>
    </row>
    <row r="92" spans="1:5" ht="12.75" x14ac:dyDescent="0.2">
      <c r="A92" s="3" t="s">
        <v>64</v>
      </c>
      <c r="B92" s="3" t="s">
        <v>71</v>
      </c>
      <c r="C92" s="1"/>
      <c r="D92" s="1"/>
    </row>
    <row r="93" spans="1:5" ht="12.75" x14ac:dyDescent="0.2">
      <c r="A93" s="3" t="s">
        <v>66</v>
      </c>
      <c r="B93" s="3" t="s">
        <v>72</v>
      </c>
      <c r="C93" s="1"/>
      <c r="D93" s="1"/>
      <c r="E93" s="22"/>
    </row>
    <row r="94" spans="1:5" ht="12.75" x14ac:dyDescent="0.2">
      <c r="A94" s="3" t="s">
        <v>68</v>
      </c>
      <c r="B94" s="3" t="s">
        <v>73</v>
      </c>
      <c r="C94" s="1"/>
      <c r="D94" s="1"/>
      <c r="E94" s="22"/>
    </row>
    <row r="95" spans="1:5" ht="12.75" x14ac:dyDescent="0.2">
      <c r="A95" s="4" t="s">
        <v>7</v>
      </c>
      <c r="B95" s="4" t="s">
        <v>7</v>
      </c>
      <c r="C95" s="1"/>
      <c r="D95" s="1"/>
      <c r="E95" s="22"/>
    </row>
    <row r="96" spans="1:5" ht="14.25" x14ac:dyDescent="0.2">
      <c r="A96" s="3" t="s">
        <v>61</v>
      </c>
      <c r="B96" s="21" t="s">
        <v>74</v>
      </c>
      <c r="C96" s="1"/>
      <c r="D96" s="1"/>
      <c r="E96" s="22"/>
    </row>
    <row r="97" spans="1:4" ht="14.25" x14ac:dyDescent="0.2">
      <c r="A97" s="3" t="s">
        <v>63</v>
      </c>
      <c r="B97" s="8">
        <v>46221</v>
      </c>
      <c r="C97" s="1"/>
      <c r="D97" s="1"/>
    </row>
    <row r="98" spans="1:4" ht="12.75" x14ac:dyDescent="0.2">
      <c r="A98" s="3" t="s">
        <v>64</v>
      </c>
      <c r="B98" s="3" t="s">
        <v>71</v>
      </c>
      <c r="C98" s="1"/>
      <c r="D98" s="1"/>
    </row>
    <row r="99" spans="1:4" ht="12.75" x14ac:dyDescent="0.2">
      <c r="A99" s="3" t="s">
        <v>66</v>
      </c>
      <c r="B99" s="3" t="s">
        <v>75</v>
      </c>
      <c r="C99" s="1"/>
      <c r="D99" s="1"/>
    </row>
    <row r="100" spans="1:4" ht="12.75" x14ac:dyDescent="0.2">
      <c r="A100" s="3" t="s">
        <v>68</v>
      </c>
      <c r="B100" s="3" t="s">
        <v>73</v>
      </c>
      <c r="C100" s="1"/>
      <c r="D100" s="1"/>
    </row>
    <row r="101" spans="1:4" ht="12.75" x14ac:dyDescent="0.2">
      <c r="A101" s="4" t="s">
        <v>7</v>
      </c>
      <c r="B101" s="4" t="s">
        <v>7</v>
      </c>
      <c r="C101" s="1"/>
      <c r="D101" s="1"/>
    </row>
    <row r="102" spans="1:4" ht="14.25" x14ac:dyDescent="0.2">
      <c r="A102" s="3" t="s">
        <v>61</v>
      </c>
      <c r="B102" s="21" t="s">
        <v>76</v>
      </c>
      <c r="C102" s="1"/>
      <c r="D102" s="1"/>
    </row>
    <row r="103" spans="1:4" ht="14.25" x14ac:dyDescent="0.2">
      <c r="A103" s="3" t="s">
        <v>63</v>
      </c>
      <c r="B103" s="8">
        <v>46264</v>
      </c>
      <c r="C103" s="1"/>
      <c r="D103" s="1"/>
    </row>
    <row r="104" spans="1:4" ht="12.75" x14ac:dyDescent="0.2">
      <c r="A104" s="3" t="s">
        <v>64</v>
      </c>
      <c r="B104" s="3" t="s">
        <v>65</v>
      </c>
      <c r="C104" s="1"/>
      <c r="D104" s="1"/>
    </row>
    <row r="105" spans="1:4" ht="12.75" x14ac:dyDescent="0.2">
      <c r="A105" s="3" t="s">
        <v>66</v>
      </c>
      <c r="B105" s="3" t="s">
        <v>77</v>
      </c>
      <c r="C105" s="1"/>
      <c r="D105" s="1"/>
    </row>
    <row r="106" spans="1:4" ht="12.75" x14ac:dyDescent="0.2">
      <c r="A106" s="3" t="s">
        <v>68</v>
      </c>
      <c r="B106" s="3" t="s">
        <v>78</v>
      </c>
      <c r="C106" s="1"/>
      <c r="D106" s="1"/>
    </row>
    <row r="107" spans="1:4" ht="12.75" x14ac:dyDescent="0.2">
      <c r="A107" s="4" t="s">
        <v>7</v>
      </c>
      <c r="B107" s="4" t="s">
        <v>7</v>
      </c>
      <c r="C107" s="1"/>
      <c r="D107" s="1"/>
    </row>
    <row r="108" spans="1:4" ht="14.25" x14ac:dyDescent="0.2">
      <c r="A108" s="3" t="s">
        <v>61</v>
      </c>
      <c r="B108" s="21" t="s">
        <v>79</v>
      </c>
      <c r="C108" s="1"/>
      <c r="D108" s="1"/>
    </row>
    <row r="109" spans="1:4" ht="14.25" x14ac:dyDescent="0.2">
      <c r="A109" s="3" t="s">
        <v>63</v>
      </c>
      <c r="B109" s="8">
        <v>46271</v>
      </c>
      <c r="C109" s="1"/>
      <c r="D109" s="1"/>
    </row>
    <row r="110" spans="1:4" ht="12.75" x14ac:dyDescent="0.2">
      <c r="A110" s="3" t="s">
        <v>64</v>
      </c>
      <c r="B110" s="3" t="s">
        <v>65</v>
      </c>
      <c r="C110" s="1"/>
      <c r="D110" s="1"/>
    </row>
    <row r="111" spans="1:4" ht="12.75" x14ac:dyDescent="0.2">
      <c r="A111" s="3" t="s">
        <v>66</v>
      </c>
      <c r="B111" s="3" t="s">
        <v>80</v>
      </c>
      <c r="C111" s="1"/>
      <c r="D111" s="1"/>
    </row>
    <row r="112" spans="1:4" ht="12.75" x14ac:dyDescent="0.2">
      <c r="A112" s="3" t="s">
        <v>68</v>
      </c>
      <c r="B112" s="3" t="s">
        <v>73</v>
      </c>
      <c r="C112" s="1"/>
      <c r="D112" s="1"/>
    </row>
    <row r="113" spans="1:4" ht="12.75" x14ac:dyDescent="0.2">
      <c r="A113" s="4" t="s">
        <v>7</v>
      </c>
      <c r="B113" s="4" t="s">
        <v>7</v>
      </c>
      <c r="C113" s="1"/>
      <c r="D113" s="1"/>
    </row>
    <row r="114" spans="1:4" ht="14.25" x14ac:dyDescent="0.2">
      <c r="A114" s="3" t="s">
        <v>61</v>
      </c>
      <c r="B114" s="21" t="s">
        <v>81</v>
      </c>
      <c r="C114" s="1"/>
      <c r="D114" s="1"/>
    </row>
    <row r="115" spans="1:4" ht="14.25" x14ac:dyDescent="0.2">
      <c r="A115" s="3" t="s">
        <v>63</v>
      </c>
      <c r="B115" s="8">
        <v>46305</v>
      </c>
      <c r="C115" s="1"/>
      <c r="D115" s="1"/>
    </row>
    <row r="116" spans="1:4" ht="12.75" x14ac:dyDescent="0.2">
      <c r="A116" s="3" t="s">
        <v>64</v>
      </c>
      <c r="B116" s="1" t="s">
        <v>82</v>
      </c>
      <c r="C116" s="1"/>
      <c r="D116" s="1"/>
    </row>
    <row r="117" spans="1:4" ht="12.75" x14ac:dyDescent="0.2">
      <c r="A117" s="3" t="s">
        <v>66</v>
      </c>
      <c r="B117" s="3" t="s">
        <v>83</v>
      </c>
      <c r="C117" s="1"/>
      <c r="D117" s="1"/>
    </row>
    <row r="118" spans="1:4" ht="12.75" x14ac:dyDescent="0.2">
      <c r="A118" s="3" t="s">
        <v>68</v>
      </c>
      <c r="B118" s="3" t="s">
        <v>73</v>
      </c>
      <c r="C118" s="1"/>
      <c r="D118" s="1"/>
    </row>
    <row r="119" spans="1:4" ht="12.75" x14ac:dyDescent="0.2">
      <c r="A119" s="4" t="s">
        <v>7</v>
      </c>
      <c r="B119" s="4" t="s">
        <v>7</v>
      </c>
      <c r="C119" s="1"/>
      <c r="D119" s="1"/>
    </row>
    <row r="120" spans="1:4" ht="14.25" x14ac:dyDescent="0.2">
      <c r="A120" s="3" t="s">
        <v>61</v>
      </c>
      <c r="B120" s="21" t="s">
        <v>81</v>
      </c>
      <c r="C120" s="1"/>
      <c r="D120" s="1"/>
    </row>
    <row r="121" spans="1:4" ht="14.25" x14ac:dyDescent="0.2">
      <c r="A121" s="3" t="s">
        <v>63</v>
      </c>
      <c r="B121" s="8">
        <v>46333</v>
      </c>
      <c r="C121" s="1"/>
      <c r="D121" s="1"/>
    </row>
    <row r="122" spans="1:4" ht="12.75" x14ac:dyDescent="0.2">
      <c r="A122" s="3" t="s">
        <v>64</v>
      </c>
      <c r="B122" s="1" t="s">
        <v>82</v>
      </c>
      <c r="C122" s="1"/>
      <c r="D122" s="1"/>
    </row>
    <row r="123" spans="1:4" ht="12.75" x14ac:dyDescent="0.2">
      <c r="A123" s="3" t="s">
        <v>66</v>
      </c>
      <c r="B123" s="3" t="s">
        <v>83</v>
      </c>
      <c r="C123" s="1"/>
      <c r="D123" s="1"/>
    </row>
    <row r="124" spans="1:4" ht="12.75" x14ac:dyDescent="0.2">
      <c r="A124" s="3" t="s">
        <v>68</v>
      </c>
      <c r="B124" s="3" t="s">
        <v>73</v>
      </c>
      <c r="C124" s="1"/>
      <c r="D124" s="1"/>
    </row>
    <row r="125" spans="1:4" ht="12.75" x14ac:dyDescent="0.2">
      <c r="A125" s="4" t="s">
        <v>7</v>
      </c>
      <c r="B125" s="4" t="s">
        <v>7</v>
      </c>
      <c r="C125" s="1"/>
      <c r="D125" s="1"/>
    </row>
    <row r="126" spans="1:4" ht="14.25" x14ac:dyDescent="0.2">
      <c r="A126" s="3" t="s">
        <v>61</v>
      </c>
      <c r="B126" s="21" t="s">
        <v>84</v>
      </c>
      <c r="C126" s="1"/>
      <c r="D126" s="1"/>
    </row>
    <row r="127" spans="1:4" ht="14.25" x14ac:dyDescent="0.2">
      <c r="A127" s="3" t="s">
        <v>63</v>
      </c>
      <c r="B127" s="8">
        <v>46339</v>
      </c>
      <c r="C127" s="1"/>
      <c r="D127" s="1"/>
    </row>
    <row r="128" spans="1:4" ht="12.75" x14ac:dyDescent="0.2">
      <c r="A128" s="3" t="s">
        <v>64</v>
      </c>
      <c r="B128" s="3" t="s">
        <v>71</v>
      </c>
      <c r="C128" s="1"/>
      <c r="D128" s="1"/>
    </row>
    <row r="129" spans="1:4" ht="12.75" x14ac:dyDescent="0.2">
      <c r="A129" s="3" t="s">
        <v>66</v>
      </c>
      <c r="B129" s="3" t="s">
        <v>85</v>
      </c>
      <c r="C129" s="1"/>
      <c r="D129" s="1"/>
    </row>
    <row r="130" spans="1:4" ht="12.75" x14ac:dyDescent="0.2">
      <c r="A130" s="3" t="s">
        <v>68</v>
      </c>
      <c r="B130" s="3" t="s">
        <v>69</v>
      </c>
      <c r="C130" s="1"/>
      <c r="D130" s="1"/>
    </row>
    <row r="131" spans="1:4" ht="12.75" x14ac:dyDescent="0.2">
      <c r="A131" s="4" t="s">
        <v>7</v>
      </c>
      <c r="B131" s="4" t="s">
        <v>7</v>
      </c>
      <c r="C131" s="1"/>
      <c r="D131" s="1"/>
    </row>
    <row r="132" spans="1:4" ht="14.25" x14ac:dyDescent="0.2">
      <c r="A132" s="3" t="s">
        <v>61</v>
      </c>
      <c r="B132" s="21" t="s">
        <v>86</v>
      </c>
      <c r="C132" s="1"/>
      <c r="D132" s="1"/>
    </row>
    <row r="133" spans="1:4" ht="14.25" x14ac:dyDescent="0.2">
      <c r="A133" s="3" t="s">
        <v>63</v>
      </c>
      <c r="B133" s="8">
        <v>46340</v>
      </c>
      <c r="C133" s="1"/>
      <c r="D133" s="1"/>
    </row>
    <row r="134" spans="1:4" ht="12.75" x14ac:dyDescent="0.2">
      <c r="A134" s="3" t="s">
        <v>64</v>
      </c>
      <c r="B134" s="3" t="s">
        <v>71</v>
      </c>
      <c r="C134" s="1"/>
      <c r="D134" s="1"/>
    </row>
    <row r="135" spans="1:4" ht="12.75" x14ac:dyDescent="0.2">
      <c r="A135" s="3" t="s">
        <v>66</v>
      </c>
      <c r="B135" s="3" t="s">
        <v>87</v>
      </c>
      <c r="C135" s="1"/>
      <c r="D135" s="1"/>
    </row>
    <row r="136" spans="1:4" ht="12.75" x14ac:dyDescent="0.2">
      <c r="A136" s="3" t="s">
        <v>68</v>
      </c>
      <c r="B136" s="3" t="s">
        <v>69</v>
      </c>
      <c r="C136" s="1"/>
      <c r="D136" s="1"/>
    </row>
    <row r="137" spans="1:4" ht="12.75" x14ac:dyDescent="0.2">
      <c r="A137" s="4" t="s">
        <v>7</v>
      </c>
      <c r="B137" s="4" t="s">
        <v>7</v>
      </c>
      <c r="C137" s="1"/>
      <c r="D137" s="1"/>
    </row>
    <row r="138" spans="1:4" ht="14.25" x14ac:dyDescent="0.2">
      <c r="A138" s="3" t="s">
        <v>61</v>
      </c>
      <c r="B138" s="21" t="s">
        <v>88</v>
      </c>
      <c r="C138" s="1"/>
      <c r="D138" s="1"/>
    </row>
    <row r="139" spans="1:4" ht="14.25" x14ac:dyDescent="0.2">
      <c r="A139" s="3" t="s">
        <v>63</v>
      </c>
      <c r="B139" s="8">
        <v>46341</v>
      </c>
      <c r="C139" s="1"/>
      <c r="D139" s="1"/>
    </row>
    <row r="140" spans="1:4" ht="12.75" x14ac:dyDescent="0.2">
      <c r="A140" s="3" t="s">
        <v>64</v>
      </c>
      <c r="B140" s="3" t="s">
        <v>71</v>
      </c>
      <c r="C140" s="1"/>
      <c r="D140" s="1"/>
    </row>
    <row r="141" spans="1:4" ht="12.75" x14ac:dyDescent="0.2">
      <c r="A141" s="3" t="s">
        <v>66</v>
      </c>
      <c r="B141" s="3" t="s">
        <v>89</v>
      </c>
      <c r="C141" s="1"/>
      <c r="D141" s="1"/>
    </row>
    <row r="142" spans="1:4" ht="12.75" x14ac:dyDescent="0.2">
      <c r="A142" s="3" t="s">
        <v>68</v>
      </c>
      <c r="B142" s="3" t="s">
        <v>69</v>
      </c>
      <c r="C142" s="1"/>
      <c r="D142" s="1"/>
    </row>
    <row r="143" spans="1:4" ht="12.75" x14ac:dyDescent="0.2">
      <c r="A143" s="4" t="s">
        <v>7</v>
      </c>
      <c r="B143" s="4" t="s">
        <v>7</v>
      </c>
      <c r="C143" s="1"/>
      <c r="D143" s="1"/>
    </row>
    <row r="144" spans="1:4" ht="14.25" x14ac:dyDescent="0.2">
      <c r="A144" s="3" t="s">
        <v>61</v>
      </c>
      <c r="B144" s="21" t="s">
        <v>90</v>
      </c>
      <c r="C144" s="1"/>
      <c r="D144" s="1"/>
    </row>
    <row r="145" spans="1:4" ht="14.25" x14ac:dyDescent="0.2">
      <c r="A145" s="3" t="s">
        <v>63</v>
      </c>
      <c r="B145" s="8">
        <v>46342</v>
      </c>
      <c r="C145" s="1"/>
      <c r="D145" s="1"/>
    </row>
    <row r="146" spans="1:4" ht="12.75" x14ac:dyDescent="0.2">
      <c r="A146" s="3" t="s">
        <v>64</v>
      </c>
      <c r="B146" s="3" t="s">
        <v>71</v>
      </c>
      <c r="C146" s="1"/>
      <c r="D146" s="1"/>
    </row>
    <row r="147" spans="1:4" ht="12.75" x14ac:dyDescent="0.2">
      <c r="A147" s="3" t="s">
        <v>66</v>
      </c>
      <c r="B147" s="3" t="s">
        <v>91</v>
      </c>
      <c r="C147" s="1"/>
      <c r="D147" s="1"/>
    </row>
    <row r="148" spans="1:4" ht="12.75" x14ac:dyDescent="0.2">
      <c r="A148" s="3" t="s">
        <v>68</v>
      </c>
      <c r="B148" s="3" t="s">
        <v>69</v>
      </c>
      <c r="C148" s="1"/>
      <c r="D148" s="1"/>
    </row>
    <row r="149" spans="1:4" ht="12.75" x14ac:dyDescent="0.2">
      <c r="A149" s="4" t="s">
        <v>7</v>
      </c>
      <c r="B149" s="4" t="s">
        <v>7</v>
      </c>
      <c r="C149" s="1"/>
      <c r="D149" s="1"/>
    </row>
    <row r="150" spans="1:4" ht="14.25" x14ac:dyDescent="0.2">
      <c r="A150" s="3" t="s">
        <v>61</v>
      </c>
      <c r="B150" s="21" t="s">
        <v>92</v>
      </c>
      <c r="C150" s="1"/>
      <c r="D150" s="1"/>
    </row>
    <row r="151" spans="1:4" ht="14.25" x14ac:dyDescent="0.2">
      <c r="A151" s="3" t="s">
        <v>63</v>
      </c>
      <c r="B151" s="8">
        <v>46359</v>
      </c>
      <c r="C151" s="1"/>
      <c r="D151" s="1"/>
    </row>
    <row r="152" spans="1:4" ht="12.75" x14ac:dyDescent="0.2">
      <c r="A152" s="3" t="s">
        <v>64</v>
      </c>
      <c r="B152" s="1" t="s">
        <v>82</v>
      </c>
      <c r="C152" s="1"/>
      <c r="D152" s="1"/>
    </row>
    <row r="153" spans="1:4" ht="12.75" x14ac:dyDescent="0.2">
      <c r="A153" s="3" t="s">
        <v>66</v>
      </c>
      <c r="B153" s="3" t="s">
        <v>93</v>
      </c>
      <c r="C153" s="1"/>
      <c r="D153" s="1"/>
    </row>
    <row r="154" spans="1:4" ht="12.75" x14ac:dyDescent="0.2">
      <c r="A154" s="3" t="s">
        <v>68</v>
      </c>
      <c r="B154" s="3" t="s">
        <v>69</v>
      </c>
      <c r="C154" s="1"/>
      <c r="D154" s="1"/>
    </row>
    <row r="155" spans="1:4" ht="12.75" x14ac:dyDescent="0.2">
      <c r="A155" s="4" t="s">
        <v>7</v>
      </c>
      <c r="B155" s="4" t="s">
        <v>7</v>
      </c>
      <c r="C155" s="1"/>
      <c r="D155" s="1"/>
    </row>
    <row r="156" spans="1:4" ht="14.25" x14ac:dyDescent="0.2">
      <c r="A156" s="3" t="s">
        <v>61</v>
      </c>
      <c r="B156" s="21" t="s">
        <v>94</v>
      </c>
      <c r="C156" s="1"/>
      <c r="D156" s="1"/>
    </row>
    <row r="157" spans="1:4" ht="14.25" x14ac:dyDescent="0.2">
      <c r="A157" s="3" t="s">
        <v>63</v>
      </c>
      <c r="B157" s="8">
        <v>46360</v>
      </c>
      <c r="C157" s="1"/>
      <c r="D157" s="1"/>
    </row>
    <row r="158" spans="1:4" ht="12.75" x14ac:dyDescent="0.2">
      <c r="A158" s="3" t="s">
        <v>64</v>
      </c>
      <c r="B158" s="1" t="s">
        <v>82</v>
      </c>
      <c r="C158" s="1"/>
      <c r="D158" s="1"/>
    </row>
    <row r="159" spans="1:4" ht="12.75" x14ac:dyDescent="0.2">
      <c r="A159" s="3" t="s">
        <v>66</v>
      </c>
      <c r="B159" s="3" t="s">
        <v>95</v>
      </c>
      <c r="C159" s="1"/>
      <c r="D159" s="1"/>
    </row>
    <row r="160" spans="1:4" ht="12.75" x14ac:dyDescent="0.2">
      <c r="A160" s="3" t="s">
        <v>68</v>
      </c>
      <c r="B160" s="3" t="s">
        <v>69</v>
      </c>
      <c r="C160" s="1"/>
      <c r="D160" s="1"/>
    </row>
    <row r="161" spans="1:5" ht="12.75" x14ac:dyDescent="0.2">
      <c r="A161" s="4" t="s">
        <v>7</v>
      </c>
      <c r="B161" s="4" t="s">
        <v>7</v>
      </c>
      <c r="C161" s="1"/>
      <c r="D161" s="1"/>
    </row>
    <row r="162" spans="1:5" ht="14.25" x14ac:dyDescent="0.2">
      <c r="A162" s="3" t="s">
        <v>61</v>
      </c>
      <c r="B162" s="21" t="s">
        <v>96</v>
      </c>
      <c r="C162" s="1"/>
      <c r="D162" s="1"/>
    </row>
    <row r="163" spans="1:5" ht="14.25" x14ac:dyDescent="0.2">
      <c r="A163" s="3" t="s">
        <v>63</v>
      </c>
      <c r="B163" s="8">
        <v>46361</v>
      </c>
      <c r="C163" s="1"/>
      <c r="D163" s="1"/>
    </row>
    <row r="164" spans="1:5" ht="12.75" x14ac:dyDescent="0.2">
      <c r="A164" s="3" t="s">
        <v>64</v>
      </c>
      <c r="B164" s="1" t="s">
        <v>82</v>
      </c>
      <c r="C164" s="1"/>
      <c r="D164" s="1"/>
    </row>
    <row r="165" spans="1:5" ht="12.75" x14ac:dyDescent="0.2">
      <c r="A165" s="3" t="s">
        <v>66</v>
      </c>
      <c r="B165" s="3" t="s">
        <v>97</v>
      </c>
      <c r="C165" s="1"/>
      <c r="D165" s="1"/>
    </row>
    <row r="166" spans="1:5" ht="12.75" x14ac:dyDescent="0.2">
      <c r="A166" s="3" t="s">
        <v>68</v>
      </c>
      <c r="B166" s="3" t="s">
        <v>69</v>
      </c>
      <c r="C166" s="1"/>
      <c r="D166" s="1"/>
    </row>
    <row r="167" spans="1:5" ht="12.75" x14ac:dyDescent="0.2">
      <c r="A167" s="4" t="s">
        <v>7</v>
      </c>
      <c r="B167" s="4" t="s">
        <v>7</v>
      </c>
      <c r="C167" s="1"/>
      <c r="D167" s="1"/>
    </row>
    <row r="168" spans="1:5" ht="12.75" x14ac:dyDescent="0.2">
      <c r="A168" s="1"/>
      <c r="B168" s="1"/>
      <c r="C168" s="1"/>
      <c r="D168" s="1"/>
    </row>
    <row r="169" spans="1:5" x14ac:dyDescent="0.25">
      <c r="A169" s="2" t="s">
        <v>98</v>
      </c>
      <c r="B169" s="2"/>
      <c r="C169" s="2"/>
      <c r="D169" s="2"/>
      <c r="E169" s="2"/>
    </row>
    <row r="170" spans="1:5" x14ac:dyDescent="0.25">
      <c r="A170" s="2" t="s">
        <v>99</v>
      </c>
      <c r="B170" s="2" t="s">
        <v>100</v>
      </c>
      <c r="C170" s="2" t="s">
        <v>101</v>
      </c>
      <c r="D170" s="2" t="s">
        <v>102</v>
      </c>
      <c r="E170" s="2" t="s">
        <v>103</v>
      </c>
    </row>
    <row r="171" spans="1:5" ht="12.75" x14ac:dyDescent="0.2">
      <c r="A171" s="1" t="str">
        <f ca="1">IFERROR(__xludf.DUMMYFUNCTION("ARRAYFORMULA(SORT(SORTN(FILTER({Intervals_Import!D2:D31, LEFT(Intervals_Import!B2:B31, 10), Intervals_Import!T2:T31, Intervals_Import!U2:U31, Intervals_Import!E2:E31}, ISNUMBER(MATCH(Intervals_Import!D2:D31, {""Run"", ""TrailRun"", ""Ride"", ""VirtualRide"&amp;""", ""MountainBikeRide""}, 0))), 20, 0, 5, FALSE), 2, FALSE))
"),"MountainBikeRide")</f>
        <v>MountainBikeRide</v>
      </c>
      <c r="B171" s="1" t="str">
        <f ca="1">IFERROR(__xludf.DUMMYFUNCTION("""COMPUTED_VALUE"""),"2026-05-26")</f>
        <v>2026-05-26</v>
      </c>
      <c r="C171" s="23">
        <f ca="1">IFERROR(__xludf.DUMMYFUNCTION("""COMPUTED_VALUE"""),67.10526)</f>
        <v>67.105260000000001</v>
      </c>
      <c r="D171" s="1">
        <f ca="1">IFERROR(__xludf.DUMMYFUNCTION("""COMPUTED_VALUE"""),158)</f>
        <v>158</v>
      </c>
      <c r="E171" s="1">
        <f ca="1">IFERROR(__xludf.DUMMYFUNCTION("""COMPUTED_VALUE"""),12594)</f>
        <v>12594</v>
      </c>
    </row>
    <row r="172" spans="1:5" ht="12.75" x14ac:dyDescent="0.2">
      <c r="A172" s="1" t="str">
        <f ca="1">IFERROR(__xludf.DUMMYFUNCTION("""COMPUTED_VALUE"""),"Run")</f>
        <v>Run</v>
      </c>
      <c r="B172" s="1" t="str">
        <f ca="1">IFERROR(__xludf.DUMMYFUNCTION("""COMPUTED_VALUE"""),"2026-05-23")</f>
        <v>2026-05-23</v>
      </c>
      <c r="C172" s="23">
        <f ca="1">IFERROR(__xludf.DUMMYFUNCTION("""COMPUTED_VALUE"""),57.454662)</f>
        <v>57.454661999999999</v>
      </c>
      <c r="D172" s="1">
        <f ca="1">IFERROR(__xludf.DUMMYFUNCTION("""COMPUTED_VALUE"""),53)</f>
        <v>53</v>
      </c>
      <c r="E172" s="1">
        <f ca="1">IFERROR(__xludf.DUMMYFUNCTION("""COMPUTED_VALUE"""),5742)</f>
        <v>5742</v>
      </c>
    </row>
    <row r="173" spans="1:5" ht="12.75" x14ac:dyDescent="0.2">
      <c r="A173" s="1" t="str">
        <f ca="1">IFERROR(__xludf.DUMMYFUNCTION("""COMPUTED_VALUE"""),"VirtualRide")</f>
        <v>VirtualRide</v>
      </c>
      <c r="B173" s="1" t="str">
        <f ca="1">IFERROR(__xludf.DUMMYFUNCTION("""COMPUTED_VALUE"""),"2026-05-22")</f>
        <v>2026-05-22</v>
      </c>
      <c r="C173" s="23">
        <f ca="1">IFERROR(__xludf.DUMMYFUNCTION("""COMPUTED_VALUE"""),68.085106)</f>
        <v>68.085105999999996</v>
      </c>
      <c r="D173" s="1">
        <f ca="1">IFERROR(__xludf.DUMMYFUNCTION("""COMPUTED_VALUE"""),55)</f>
        <v>55</v>
      </c>
      <c r="E173" s="1">
        <f ca="1">IFERROR(__xludf.DUMMYFUNCTION("""COMPUTED_VALUE"""),4267)</f>
        <v>4267</v>
      </c>
    </row>
    <row r="174" spans="1:5" ht="12.75" x14ac:dyDescent="0.2">
      <c r="A174" s="1" t="str">
        <f ca="1">IFERROR(__xludf.DUMMYFUNCTION("""COMPUTED_VALUE"""),"VirtualRide")</f>
        <v>VirtualRide</v>
      </c>
      <c r="B174" s="1" t="str">
        <f ca="1">IFERROR(__xludf.DUMMYFUNCTION("""COMPUTED_VALUE"""),"2026-05-20")</f>
        <v>2026-05-20</v>
      </c>
      <c r="C174" s="23">
        <f ca="1">IFERROR(__xludf.DUMMYFUNCTION("""COMPUTED_VALUE"""),67.65958)</f>
        <v>67.659580000000005</v>
      </c>
      <c r="D174" s="1">
        <f ca="1">IFERROR(__xludf.DUMMYFUNCTION("""COMPUTED_VALUE"""),46)</f>
        <v>46</v>
      </c>
      <c r="E174" s="1">
        <f ca="1">IFERROR(__xludf.DUMMYFUNCTION("""COMPUTED_VALUE"""),3615)</f>
        <v>3615</v>
      </c>
    </row>
    <row r="175" spans="1:5" ht="12.75" x14ac:dyDescent="0.2">
      <c r="A175" s="1" t="str">
        <f ca="1">IFERROR(__xludf.DUMMYFUNCTION("""COMPUTED_VALUE"""),"Ride")</f>
        <v>Ride</v>
      </c>
      <c r="B175" s="1" t="str">
        <f ca="1">IFERROR(__xludf.DUMMYFUNCTION("""COMPUTED_VALUE"""),"2026-05-19")</f>
        <v>2026-05-19</v>
      </c>
      <c r="C175" s="23">
        <f ca="1">IFERROR(__xludf.DUMMYFUNCTION("""COMPUTED_VALUE"""),71.929825)</f>
        <v>71.929824999999994</v>
      </c>
      <c r="D175" s="1">
        <f ca="1">IFERROR(__xludf.DUMMYFUNCTION("""COMPUTED_VALUE"""),144)</f>
        <v>144</v>
      </c>
      <c r="E175" s="1">
        <f ca="1">IFERROR(__xludf.DUMMYFUNCTION("""COMPUTED_VALUE"""),9990)</f>
        <v>9990</v>
      </c>
    </row>
    <row r="176" spans="1:5" ht="12.75" x14ac:dyDescent="0.2">
      <c r="A176" s="1" t="str">
        <f ca="1">IFERROR(__xludf.DUMMYFUNCTION("""COMPUTED_VALUE"""),"Run")</f>
        <v>Run</v>
      </c>
      <c r="B176" s="1" t="str">
        <f ca="1">IFERROR(__xludf.DUMMYFUNCTION("""COMPUTED_VALUE"""),"2026-05-18")</f>
        <v>2026-05-18</v>
      </c>
      <c r="C176" s="23">
        <f ca="1">IFERROR(__xludf.DUMMYFUNCTION("""COMPUTED_VALUE"""),73.807526)</f>
        <v>73.807525999999996</v>
      </c>
      <c r="D176" s="1">
        <f ca="1">IFERROR(__xludf.DUMMYFUNCTION("""COMPUTED_VALUE"""),59)</f>
        <v>59</v>
      </c>
      <c r="E176" s="1">
        <f ca="1">IFERROR(__xludf.DUMMYFUNCTION("""COMPUTED_VALUE"""),3899)</f>
        <v>3899</v>
      </c>
    </row>
    <row r="177" spans="1:5" ht="12.75" x14ac:dyDescent="0.2">
      <c r="A177" s="1" t="str">
        <f ca="1">IFERROR(__xludf.DUMMYFUNCTION("""COMPUTED_VALUE"""),"TrailRun")</f>
        <v>TrailRun</v>
      </c>
      <c r="B177" s="1" t="str">
        <f ca="1">IFERROR(__xludf.DUMMYFUNCTION("""COMPUTED_VALUE"""),"2026-05-16")</f>
        <v>2026-05-16</v>
      </c>
      <c r="C177" s="23">
        <f ca="1">IFERROR(__xludf.DUMMYFUNCTION("""COMPUTED_VALUE"""),99.67742)</f>
        <v>99.677419999999998</v>
      </c>
      <c r="D177" s="1">
        <f ca="1">IFERROR(__xludf.DUMMYFUNCTION("""COMPUTED_VALUE"""),78)</f>
        <v>78</v>
      </c>
      <c r="E177" s="1">
        <f ca="1">IFERROR(__xludf.DUMMYFUNCTION("""COMPUTED_VALUE"""),5866)</f>
        <v>5866</v>
      </c>
    </row>
    <row r="178" spans="1:5" ht="12.75" x14ac:dyDescent="0.2">
      <c r="A178" s="1" t="str">
        <f ca="1">IFERROR(__xludf.DUMMYFUNCTION("""COMPUTED_VALUE"""),"VirtualRide")</f>
        <v>VirtualRide</v>
      </c>
      <c r="B178" s="1" t="str">
        <f ca="1">IFERROR(__xludf.DUMMYFUNCTION("""COMPUTED_VALUE"""),"2026-05-15")</f>
        <v>2026-05-15</v>
      </c>
      <c r="C178" s="23">
        <f ca="1">IFERROR(__xludf.DUMMYFUNCTION("""COMPUTED_VALUE"""),65.106384)</f>
        <v>65.106384000000006</v>
      </c>
      <c r="D178" s="1">
        <f ca="1">IFERROR(__xludf.DUMMYFUNCTION("""COMPUTED_VALUE"""),43)</f>
        <v>43</v>
      </c>
      <c r="E178" s="1">
        <f ca="1">IFERROR(__xludf.DUMMYFUNCTION("""COMPUTED_VALUE"""),3631)</f>
        <v>3631</v>
      </c>
    </row>
    <row r="179" spans="1:5" ht="12.75" x14ac:dyDescent="0.2">
      <c r="A179" s="1" t="str">
        <f ca="1">IFERROR(__xludf.DUMMYFUNCTION("""COMPUTED_VALUE"""),"Run")</f>
        <v>Run</v>
      </c>
      <c r="B179" s="1" t="str">
        <f ca="1">IFERROR(__xludf.DUMMYFUNCTION("""COMPUTED_VALUE"""),"2026-05-14")</f>
        <v>2026-05-14</v>
      </c>
      <c r="C179" s="23">
        <f ca="1">IFERROR(__xludf.DUMMYFUNCTION("""COMPUTED_VALUE"""),72.73042)</f>
        <v>72.730419999999995</v>
      </c>
      <c r="D179" s="1">
        <f ca="1">IFERROR(__xludf.DUMMYFUNCTION("""COMPUTED_VALUE"""),53)</f>
        <v>53</v>
      </c>
      <c r="E179" s="1">
        <f ca="1">IFERROR(__xludf.DUMMYFUNCTION("""COMPUTED_VALUE"""),3607)</f>
        <v>3607</v>
      </c>
    </row>
    <row r="180" spans="1:5" ht="12.75" x14ac:dyDescent="0.2">
      <c r="A180" s="1" t="str">
        <f ca="1">IFERROR(__xludf.DUMMYFUNCTION("""COMPUTED_VALUE"""),"VirtualRide")</f>
        <v>VirtualRide</v>
      </c>
      <c r="B180" s="1" t="str">
        <f ca="1">IFERROR(__xludf.DUMMYFUNCTION("""COMPUTED_VALUE"""),"2026-05-13")</f>
        <v>2026-05-13</v>
      </c>
      <c r="C180" s="23">
        <f ca="1">IFERROR(__xludf.DUMMYFUNCTION("""COMPUTED_VALUE"""),70.21277)</f>
        <v>70.212770000000006</v>
      </c>
      <c r="D180" s="1">
        <f ca="1">IFERROR(__xludf.DUMMYFUNCTION("""COMPUTED_VALUE"""),49)</f>
        <v>49</v>
      </c>
      <c r="E180" s="1">
        <f ca="1">IFERROR(__xludf.DUMMYFUNCTION("""COMPUTED_VALUE"""),3606)</f>
        <v>3606</v>
      </c>
    </row>
    <row r="181" spans="1:5" ht="12.75" x14ac:dyDescent="0.2">
      <c r="A181" s="1" t="str">
        <f ca="1">IFERROR(__xludf.DUMMYFUNCTION("""COMPUTED_VALUE"""),"MountainBikeRide")</f>
        <v>MountainBikeRide</v>
      </c>
      <c r="B181" s="1" t="str">
        <f ca="1">IFERROR(__xludf.DUMMYFUNCTION("""COMPUTED_VALUE"""),"2026-05-12")</f>
        <v>2026-05-12</v>
      </c>
      <c r="C181" s="23">
        <f ca="1">IFERROR(__xludf.DUMMYFUNCTION("""COMPUTED_VALUE"""),72.807014)</f>
        <v>72.807013999999995</v>
      </c>
      <c r="D181" s="1">
        <f ca="1">IFERROR(__xludf.DUMMYFUNCTION("""COMPUTED_VALUE"""),180)</f>
        <v>180</v>
      </c>
      <c r="E181" s="1">
        <f ca="1">IFERROR(__xludf.DUMMYFUNCTION("""COMPUTED_VALUE"""),12232)</f>
        <v>12232</v>
      </c>
    </row>
    <row r="182" spans="1:5" ht="12.75" x14ac:dyDescent="0.2">
      <c r="A182" s="1" t="str">
        <f ca="1">IFERROR(__xludf.DUMMYFUNCTION("""COMPUTED_VALUE"""),"Run")</f>
        <v>Run</v>
      </c>
      <c r="B182" s="1" t="str">
        <f ca="1">IFERROR(__xludf.DUMMYFUNCTION("""COMPUTED_VALUE"""),"2026-05-11")</f>
        <v>2026-05-11</v>
      </c>
      <c r="C182" s="23">
        <f ca="1">IFERROR(__xludf.DUMMYFUNCTION("""COMPUTED_VALUE"""),66.30707)</f>
        <v>66.307069999999996</v>
      </c>
      <c r="D182" s="1">
        <f ca="1">IFERROR(__xludf.DUMMYFUNCTION("""COMPUTED_VALUE"""),42)</f>
        <v>42</v>
      </c>
      <c r="E182" s="1">
        <f ca="1">IFERROR(__xludf.DUMMYFUNCTION("""COMPUTED_VALUE"""),3439)</f>
        <v>3439</v>
      </c>
    </row>
    <row r="183" spans="1:5" ht="12.75" x14ac:dyDescent="0.2">
      <c r="A183" s="1" t="str">
        <f ca="1">IFERROR(__xludf.DUMMYFUNCTION("""COMPUTED_VALUE"""),"TrailRun")</f>
        <v>TrailRun</v>
      </c>
      <c r="B183" s="1" t="str">
        <f ca="1">IFERROR(__xludf.DUMMYFUNCTION("""COMPUTED_VALUE"""),"2026-05-09")</f>
        <v>2026-05-09</v>
      </c>
      <c r="C183" s="23">
        <f ca="1">IFERROR(__xludf.DUMMYFUNCTION("""COMPUTED_VALUE"""),99.03226)</f>
        <v>99.032259999999994</v>
      </c>
      <c r="D183" s="1">
        <f ca="1">IFERROR(__xludf.DUMMYFUNCTION("""COMPUTED_VALUE"""),76)</f>
        <v>76</v>
      </c>
      <c r="E183" s="1">
        <f ca="1">IFERROR(__xludf.DUMMYFUNCTION("""COMPUTED_VALUE"""),5508)</f>
        <v>5508</v>
      </c>
    </row>
    <row r="184" spans="1:5" ht="12.75" x14ac:dyDescent="0.2">
      <c r="A184" s="1" t="str">
        <f ca="1">IFERROR(__xludf.DUMMYFUNCTION("""COMPUTED_VALUE"""),"VirtualRide")</f>
        <v>VirtualRide</v>
      </c>
      <c r="B184" s="1" t="str">
        <f ca="1">IFERROR(__xludf.DUMMYFUNCTION("""COMPUTED_VALUE"""),"2026-05-06")</f>
        <v>2026-05-06</v>
      </c>
      <c r="C184" s="23">
        <f ca="1">IFERROR(__xludf.DUMMYFUNCTION("""COMPUTED_VALUE"""),65.106384)</f>
        <v>65.106384000000006</v>
      </c>
      <c r="D184" s="1">
        <f ca="1">IFERROR(__xludf.DUMMYFUNCTION("""COMPUTED_VALUE"""),42)</f>
        <v>42</v>
      </c>
      <c r="E184" s="1">
        <f ca="1">IFERROR(__xludf.DUMMYFUNCTION("""COMPUTED_VALUE"""),3607)</f>
        <v>3607</v>
      </c>
    </row>
    <row r="185" spans="1:5" ht="12.75" x14ac:dyDescent="0.2">
      <c r="A185" s="1" t="str">
        <f ca="1">IFERROR(__xludf.DUMMYFUNCTION("""COMPUTED_VALUE"""),"VirtualRide")</f>
        <v>VirtualRide</v>
      </c>
      <c r="B185" s="1" t="str">
        <f ca="1">IFERROR(__xludf.DUMMYFUNCTION("""COMPUTED_VALUE"""),"2026-05-05")</f>
        <v>2026-05-05</v>
      </c>
      <c r="C185" s="23">
        <f ca="1">IFERROR(__xludf.DUMMYFUNCTION("""COMPUTED_VALUE"""),58.29787)</f>
        <v>58.297870000000003</v>
      </c>
      <c r="D185" s="1">
        <f ca="1">IFERROR(__xludf.DUMMYFUNCTION("""COMPUTED_VALUE"""),85)</f>
        <v>85</v>
      </c>
      <c r="E185" s="1">
        <f ca="1">IFERROR(__xludf.DUMMYFUNCTION("""COMPUTED_VALUE"""),9004)</f>
        <v>9004</v>
      </c>
    </row>
    <row r="186" spans="1:5" ht="12.75" x14ac:dyDescent="0.2">
      <c r="A186" s="1" t="str">
        <f ca="1">IFERROR(__xludf.DUMMYFUNCTION("""COMPUTED_VALUE"""),"Run")</f>
        <v>Run</v>
      </c>
      <c r="B186" s="1" t="str">
        <f ca="1">IFERROR(__xludf.DUMMYFUNCTION("""COMPUTED_VALUE"""),"2026-05-02")</f>
        <v>2026-05-02</v>
      </c>
      <c r="C186" s="23">
        <f ca="1">IFERROR(__xludf.DUMMYFUNCTION("""COMPUTED_VALUE"""),32.55453)</f>
        <v>32.55453</v>
      </c>
      <c r="D186" s="1">
        <f ca="1">IFERROR(__xludf.DUMMYFUNCTION("""COMPUTED_VALUE"""),16)</f>
        <v>16</v>
      </c>
      <c r="E186" s="1">
        <f ca="1">IFERROR(__xludf.DUMMYFUNCTION("""COMPUTED_VALUE"""),5435)</f>
        <v>5435</v>
      </c>
    </row>
    <row r="187" spans="1:5" ht="12.75" x14ac:dyDescent="0.2">
      <c r="A187" s="1" t="str">
        <f ca="1">IFERROR(__xludf.DUMMYFUNCTION("""COMPUTED_VALUE"""),"VirtualRide")</f>
        <v>VirtualRide</v>
      </c>
      <c r="B187" s="1" t="str">
        <f ca="1">IFERROR(__xludf.DUMMYFUNCTION("""COMPUTED_VALUE"""),"2026-04-29")</f>
        <v>2026-04-29</v>
      </c>
      <c r="C187" s="23">
        <f ca="1">IFERROR(__xludf.DUMMYFUNCTION("""COMPUTED_VALUE"""),80.85107)</f>
        <v>80.851070000000007</v>
      </c>
      <c r="D187" s="1">
        <f ca="1">IFERROR(__xludf.DUMMYFUNCTION("""COMPUTED_VALUE"""),88)</f>
        <v>88</v>
      </c>
      <c r="E187" s="1">
        <f ca="1">IFERROR(__xludf.DUMMYFUNCTION("""COMPUTED_VALUE"""),4822)</f>
        <v>4822</v>
      </c>
    </row>
    <row r="188" spans="1:5" ht="12.75" x14ac:dyDescent="0.2">
      <c r="A188" s="1" t="str">
        <f ca="1">IFERROR(__xludf.DUMMYFUNCTION("""COMPUTED_VALUE"""),"MountainBikeRide")</f>
        <v>MountainBikeRide</v>
      </c>
      <c r="B188" s="1" t="str">
        <f ca="1">IFERROR(__xludf.DUMMYFUNCTION("""COMPUTED_VALUE"""),"2026-04-28")</f>
        <v>2026-04-28</v>
      </c>
      <c r="C188" s="23">
        <f ca="1">IFERROR(__xludf.DUMMYFUNCTION("""COMPUTED_VALUE"""),69.73684)</f>
        <v>69.736840000000001</v>
      </c>
      <c r="D188" s="1">
        <f ca="1">IFERROR(__xludf.DUMMYFUNCTION("""COMPUTED_VALUE"""),122)</f>
        <v>122</v>
      </c>
      <c r="E188" s="1">
        <f ca="1">IFERROR(__xludf.DUMMYFUNCTION("""COMPUTED_VALUE"""),9037)</f>
        <v>9037</v>
      </c>
    </row>
    <row r="189" spans="1:5" ht="12.75" x14ac:dyDescent="0.2">
      <c r="A189" s="1" t="str">
        <f ca="1">IFERROR(__xludf.DUMMYFUNCTION("""COMPUTED_VALUE"""),"Run")</f>
        <v>Run</v>
      </c>
      <c r="B189" s="1" t="str">
        <f ca="1">IFERROR(__xludf.DUMMYFUNCTION("""COMPUTED_VALUE"""),"2026-04-25")</f>
        <v>2026-04-25</v>
      </c>
      <c r="C189" s="23">
        <f ca="1">IFERROR(__xludf.DUMMYFUNCTION("""COMPUTED_VALUE"""),41.91976)</f>
        <v>41.919759999999997</v>
      </c>
      <c r="D189" s="1">
        <f ca="1">IFERROR(__xludf.DUMMYFUNCTION("""COMPUTED_VALUE"""),22)</f>
        <v>22</v>
      </c>
      <c r="E189" s="1">
        <f ca="1">IFERROR(__xludf.DUMMYFUNCTION("""COMPUTED_VALUE"""),4507)</f>
        <v>4507</v>
      </c>
    </row>
    <row r="190" spans="1:5" ht="12.75" x14ac:dyDescent="0.2">
      <c r="A190" s="1" t="str">
        <f ca="1">IFERROR(__xludf.DUMMYFUNCTION("""COMPUTED_VALUE"""),"VirtualRide")</f>
        <v>VirtualRide</v>
      </c>
      <c r="B190" s="1" t="str">
        <f ca="1">IFERROR(__xludf.DUMMYFUNCTION("""COMPUTED_VALUE"""),"2026-04-24")</f>
        <v>2026-04-24</v>
      </c>
      <c r="C190" s="23">
        <f ca="1">IFERROR(__xludf.DUMMYFUNCTION("""COMPUTED_VALUE"""),56.595745)</f>
        <v>56.595745000000001</v>
      </c>
      <c r="D190" s="1">
        <f ca="1">IFERROR(__xludf.DUMMYFUNCTION("""COMPUTED_VALUE"""),30)</f>
        <v>30</v>
      </c>
      <c r="E190" s="1">
        <f ca="1">IFERROR(__xludf.DUMMYFUNCTION("""COMPUTED_VALUE"""),3328)</f>
        <v>3328</v>
      </c>
    </row>
    <row r="191" spans="1:5" ht="12.75" x14ac:dyDescent="0.2">
      <c r="A191" s="1"/>
      <c r="B191" s="1"/>
      <c r="C191" s="1"/>
      <c r="D191" s="1"/>
    </row>
    <row r="192" spans="1:5" ht="12.75" x14ac:dyDescent="0.2">
      <c r="A192" s="4" t="s">
        <v>7</v>
      </c>
      <c r="B192" s="4" t="s">
        <v>7</v>
      </c>
      <c r="C192" s="4" t="s">
        <v>104</v>
      </c>
      <c r="D192" s="4" t="s">
        <v>104</v>
      </c>
      <c r="E192" s="4" t="s">
        <v>7</v>
      </c>
    </row>
    <row r="193" spans="1:4" ht="12.75" x14ac:dyDescent="0.2">
      <c r="A193" s="1"/>
      <c r="B193" s="1"/>
      <c r="C193" s="1"/>
      <c r="D193" s="1"/>
    </row>
    <row r="194" spans="1:4" ht="12.75" x14ac:dyDescent="0.2">
      <c r="A194" s="1"/>
      <c r="B194" s="1"/>
      <c r="C194" s="1"/>
      <c r="D194" s="1"/>
    </row>
    <row r="195" spans="1:4" ht="12.75" x14ac:dyDescent="0.2">
      <c r="A195" s="1"/>
      <c r="B195" s="1"/>
      <c r="C195" s="1"/>
      <c r="D195" s="1"/>
    </row>
    <row r="196" spans="1:4" ht="12.75" x14ac:dyDescent="0.2">
      <c r="A196" s="1"/>
      <c r="B196" s="1"/>
      <c r="C196" s="1"/>
      <c r="D196" s="1"/>
    </row>
    <row r="197" spans="1:4" ht="12.75" x14ac:dyDescent="0.2">
      <c r="A197" s="1"/>
      <c r="B197" s="1"/>
      <c r="C197" s="1"/>
      <c r="D197" s="1"/>
    </row>
    <row r="198" spans="1:4" ht="12.75" x14ac:dyDescent="0.2">
      <c r="A198" s="1"/>
      <c r="B198" s="1"/>
      <c r="C198" s="1"/>
      <c r="D198" s="1"/>
    </row>
    <row r="199" spans="1:4" ht="12.75" x14ac:dyDescent="0.2">
      <c r="A199" s="1"/>
      <c r="B199" s="1"/>
      <c r="C199" s="1"/>
      <c r="D199" s="1"/>
    </row>
    <row r="200" spans="1:4" ht="12.75" x14ac:dyDescent="0.2">
      <c r="A200" s="1"/>
      <c r="B200" s="1"/>
      <c r="C200" s="1"/>
      <c r="D200" s="1"/>
    </row>
    <row r="201" spans="1:4" ht="12.75" x14ac:dyDescent="0.2">
      <c r="A201" s="1"/>
      <c r="B201" s="1"/>
      <c r="C201" s="1"/>
      <c r="D201" s="1"/>
    </row>
    <row r="202" spans="1:4" ht="12.75" x14ac:dyDescent="0.2">
      <c r="A202" s="1"/>
      <c r="B202" s="1"/>
      <c r="C202" s="1"/>
      <c r="D202" s="1"/>
    </row>
    <row r="203" spans="1:4" ht="12.75" x14ac:dyDescent="0.2">
      <c r="A203" s="1"/>
      <c r="B203" s="1"/>
      <c r="C203" s="1"/>
      <c r="D203" s="1"/>
    </row>
    <row r="204" spans="1:4" ht="12.75" x14ac:dyDescent="0.2">
      <c r="A204" s="1"/>
      <c r="B204" s="1"/>
      <c r="C204" s="1"/>
      <c r="D204" s="1"/>
    </row>
    <row r="205" spans="1:4" ht="12.75" x14ac:dyDescent="0.2">
      <c r="A205" s="1"/>
      <c r="B205" s="1"/>
      <c r="C205" s="1"/>
      <c r="D205" s="1"/>
    </row>
    <row r="206" spans="1:4" ht="12.75" x14ac:dyDescent="0.2">
      <c r="A206" s="1"/>
      <c r="B206" s="1"/>
      <c r="C206" s="1"/>
      <c r="D206" s="1"/>
    </row>
    <row r="207" spans="1:4" ht="12.75" x14ac:dyDescent="0.2">
      <c r="A207" s="1"/>
      <c r="B207" s="1"/>
      <c r="C207" s="1"/>
      <c r="D207" s="1"/>
    </row>
    <row r="208" spans="1:4" ht="12.75" x14ac:dyDescent="0.2">
      <c r="A208" s="1"/>
      <c r="B208" s="1"/>
      <c r="C208" s="1"/>
      <c r="D208" s="1"/>
    </row>
    <row r="209" spans="1:4" ht="12.75" x14ac:dyDescent="0.2">
      <c r="A209" s="1"/>
      <c r="B209" s="1"/>
      <c r="C209" s="1"/>
      <c r="D209" s="1"/>
    </row>
    <row r="210" spans="1:4" ht="12.75" x14ac:dyDescent="0.2">
      <c r="A210" s="1"/>
      <c r="B210" s="1"/>
      <c r="C210" s="1"/>
      <c r="D210" s="1"/>
    </row>
    <row r="211" spans="1:4" ht="12.75" x14ac:dyDescent="0.2">
      <c r="A211" s="1"/>
      <c r="B211" s="1"/>
      <c r="C211" s="1"/>
      <c r="D211" s="1"/>
    </row>
    <row r="212" spans="1:4" ht="12.75" x14ac:dyDescent="0.2">
      <c r="A212" s="1"/>
      <c r="B212" s="1"/>
      <c r="C212" s="1"/>
      <c r="D212" s="1"/>
    </row>
    <row r="213" spans="1:4" ht="12.75" x14ac:dyDescent="0.2">
      <c r="A213" s="1"/>
      <c r="B213" s="1"/>
      <c r="C213" s="1"/>
      <c r="D213" s="1"/>
    </row>
    <row r="214" spans="1:4" ht="12.75" x14ac:dyDescent="0.2">
      <c r="A214" s="1"/>
      <c r="B214" s="1"/>
      <c r="C214" s="1"/>
      <c r="D214" s="1"/>
    </row>
    <row r="215" spans="1:4" ht="12.75" x14ac:dyDescent="0.2">
      <c r="A215" s="1"/>
      <c r="B215" s="1"/>
      <c r="C215" s="1"/>
      <c r="D215" s="1"/>
    </row>
    <row r="216" spans="1:4" ht="12.75" x14ac:dyDescent="0.2">
      <c r="A216" s="1"/>
      <c r="B216" s="1"/>
      <c r="C216" s="1"/>
      <c r="D216" s="1"/>
    </row>
    <row r="217" spans="1:4" ht="12.75" x14ac:dyDescent="0.2">
      <c r="A217" s="1"/>
      <c r="B217" s="1"/>
      <c r="C217" s="1"/>
      <c r="D217" s="1"/>
    </row>
    <row r="218" spans="1:4" ht="12.75" x14ac:dyDescent="0.2">
      <c r="A218" s="1"/>
      <c r="B218" s="1"/>
      <c r="C218" s="1"/>
      <c r="D218" s="1"/>
    </row>
    <row r="219" spans="1:4" ht="12.75" x14ac:dyDescent="0.2">
      <c r="A219" s="1"/>
      <c r="B219" s="1"/>
      <c r="C219" s="1"/>
      <c r="D219" s="1"/>
    </row>
    <row r="220" spans="1:4" ht="12.75" x14ac:dyDescent="0.2">
      <c r="A220" s="1"/>
      <c r="B220" s="1"/>
      <c r="C220" s="1"/>
      <c r="D220" s="1"/>
    </row>
    <row r="221" spans="1:4" ht="12.75" x14ac:dyDescent="0.2">
      <c r="A221" s="1"/>
      <c r="B221" s="1"/>
      <c r="C221" s="1"/>
      <c r="D221" s="1"/>
    </row>
    <row r="222" spans="1:4" ht="12.75" x14ac:dyDescent="0.2">
      <c r="A222" s="1"/>
      <c r="B222" s="1"/>
      <c r="C222" s="1"/>
      <c r="D222" s="1"/>
    </row>
    <row r="223" spans="1:4" ht="12.75" x14ac:dyDescent="0.2">
      <c r="A223" s="1"/>
      <c r="B223" s="1"/>
      <c r="C223" s="1"/>
      <c r="D223" s="1"/>
    </row>
    <row r="224" spans="1:4" ht="12.75" x14ac:dyDescent="0.2">
      <c r="A224" s="1"/>
      <c r="B224" s="1"/>
      <c r="C224" s="1"/>
      <c r="D224" s="1"/>
    </row>
    <row r="225" spans="1:4" ht="12.75" x14ac:dyDescent="0.2">
      <c r="A225" s="1"/>
      <c r="B225" s="1"/>
      <c r="C225" s="1"/>
      <c r="D225" s="1"/>
    </row>
    <row r="226" spans="1:4" ht="12.75" x14ac:dyDescent="0.2">
      <c r="A226" s="1"/>
      <c r="B226" s="1"/>
      <c r="C226" s="1"/>
      <c r="D226" s="1"/>
    </row>
    <row r="227" spans="1:4" ht="12.75" x14ac:dyDescent="0.2">
      <c r="A227" s="1"/>
      <c r="B227" s="1"/>
      <c r="C227" s="1"/>
      <c r="D227" s="1"/>
    </row>
    <row r="228" spans="1:4" ht="12.75" x14ac:dyDescent="0.2">
      <c r="A228" s="1"/>
      <c r="B228" s="1"/>
      <c r="C228" s="1"/>
      <c r="D228" s="1"/>
    </row>
    <row r="229" spans="1:4" ht="12.75" x14ac:dyDescent="0.2">
      <c r="A229" s="1"/>
      <c r="B229" s="1"/>
      <c r="C229" s="1"/>
      <c r="D229" s="1"/>
    </row>
    <row r="230" spans="1:4" ht="12.75" x14ac:dyDescent="0.2">
      <c r="A230" s="1"/>
      <c r="B230" s="1"/>
      <c r="C230" s="1"/>
      <c r="D230" s="1"/>
    </row>
    <row r="231" spans="1:4" ht="12.75" x14ac:dyDescent="0.2">
      <c r="A231" s="1"/>
      <c r="B231" s="1"/>
      <c r="C231" s="1"/>
      <c r="D231" s="1"/>
    </row>
    <row r="232" spans="1:4" ht="12.75" x14ac:dyDescent="0.2">
      <c r="A232" s="1"/>
      <c r="B232" s="1"/>
      <c r="C232" s="1"/>
      <c r="D232" s="1"/>
    </row>
    <row r="233" spans="1:4" ht="12.75" x14ac:dyDescent="0.2">
      <c r="A233" s="1"/>
      <c r="B233" s="1"/>
      <c r="C233" s="1"/>
      <c r="D233" s="1"/>
    </row>
    <row r="234" spans="1:4" ht="12.75" x14ac:dyDescent="0.2">
      <c r="A234" s="1"/>
      <c r="B234" s="1"/>
      <c r="C234" s="1"/>
      <c r="D234" s="1"/>
    </row>
    <row r="235" spans="1:4" ht="12.75" x14ac:dyDescent="0.2">
      <c r="A235" s="1"/>
      <c r="B235" s="1"/>
      <c r="C235" s="1"/>
      <c r="D235" s="1"/>
    </row>
    <row r="236" spans="1:4" ht="12.75" x14ac:dyDescent="0.2">
      <c r="A236" s="1"/>
      <c r="B236" s="1"/>
      <c r="C236" s="1"/>
      <c r="D236" s="1"/>
    </row>
    <row r="237" spans="1:4" ht="12.75" x14ac:dyDescent="0.2">
      <c r="A237" s="1"/>
      <c r="B237" s="1"/>
      <c r="C237" s="1"/>
      <c r="D237" s="1"/>
    </row>
    <row r="238" spans="1:4" ht="12.75" x14ac:dyDescent="0.2">
      <c r="A238" s="1"/>
      <c r="B238" s="1"/>
      <c r="C238" s="1"/>
      <c r="D238" s="1"/>
    </row>
    <row r="239" spans="1:4" ht="12.75" x14ac:dyDescent="0.2">
      <c r="A239" s="1"/>
      <c r="B239" s="1"/>
      <c r="C239" s="1"/>
      <c r="D239" s="1"/>
    </row>
    <row r="240" spans="1:4" ht="12.75" x14ac:dyDescent="0.2">
      <c r="A240" s="1"/>
      <c r="B240" s="1"/>
      <c r="C240" s="1"/>
      <c r="D240" s="1"/>
    </row>
    <row r="241" spans="1:4" ht="12.75" x14ac:dyDescent="0.2">
      <c r="A241" s="1"/>
      <c r="B241" s="1"/>
      <c r="C241" s="1"/>
      <c r="D241" s="1"/>
    </row>
    <row r="242" spans="1:4" ht="12.75" x14ac:dyDescent="0.2">
      <c r="A242" s="1"/>
      <c r="B242" s="1"/>
      <c r="C242" s="1"/>
      <c r="D242" s="1"/>
    </row>
    <row r="243" spans="1:4" ht="12.75" x14ac:dyDescent="0.2">
      <c r="A243" s="1"/>
      <c r="B243" s="1"/>
      <c r="C243" s="1"/>
      <c r="D243" s="1"/>
    </row>
    <row r="244" spans="1:4" ht="12.75" x14ac:dyDescent="0.2">
      <c r="A244" s="1"/>
      <c r="B244" s="1"/>
      <c r="C244" s="1"/>
      <c r="D244" s="1"/>
    </row>
    <row r="245" spans="1:4" ht="12.75" x14ac:dyDescent="0.2">
      <c r="A245" s="1"/>
      <c r="B245" s="1"/>
      <c r="C245" s="1"/>
      <c r="D245" s="1"/>
    </row>
    <row r="246" spans="1:4" ht="12.75" x14ac:dyDescent="0.2">
      <c r="A246" s="1"/>
      <c r="B246" s="1"/>
      <c r="C246" s="1"/>
      <c r="D246" s="1"/>
    </row>
    <row r="247" spans="1:4" ht="12.75" x14ac:dyDescent="0.2">
      <c r="A247" s="1"/>
      <c r="B247" s="1"/>
      <c r="C247" s="1"/>
      <c r="D247" s="1"/>
    </row>
    <row r="248" spans="1:4" ht="12.75" x14ac:dyDescent="0.2">
      <c r="A248" s="1"/>
      <c r="B248" s="1"/>
      <c r="C248" s="1"/>
      <c r="D248" s="1"/>
    </row>
    <row r="249" spans="1:4" ht="12.75" x14ac:dyDescent="0.2">
      <c r="A249" s="1"/>
      <c r="B249" s="1"/>
      <c r="C249" s="1"/>
      <c r="D249" s="1"/>
    </row>
    <row r="250" spans="1:4" ht="12.75" x14ac:dyDescent="0.2">
      <c r="A250" s="1"/>
      <c r="B250" s="1"/>
      <c r="C250" s="1"/>
      <c r="D250" s="1"/>
    </row>
    <row r="251" spans="1:4" ht="12.75" x14ac:dyDescent="0.2">
      <c r="A251" s="1"/>
      <c r="B251" s="1"/>
      <c r="C251" s="1"/>
      <c r="D251" s="1"/>
    </row>
    <row r="252" spans="1:4" ht="12.75" x14ac:dyDescent="0.2">
      <c r="A252" s="1"/>
      <c r="B252" s="1"/>
      <c r="C252" s="1"/>
      <c r="D252" s="1"/>
    </row>
    <row r="253" spans="1:4" ht="12.75" x14ac:dyDescent="0.2">
      <c r="A253" s="1"/>
      <c r="B253" s="1"/>
      <c r="C253" s="1"/>
      <c r="D253" s="1"/>
    </row>
    <row r="254" spans="1:4" ht="12.75" x14ac:dyDescent="0.2">
      <c r="A254" s="1"/>
      <c r="B254" s="1"/>
      <c r="C254" s="1"/>
      <c r="D254" s="1"/>
    </row>
    <row r="255" spans="1:4" ht="12.75" x14ac:dyDescent="0.2">
      <c r="A255" s="1"/>
      <c r="B255" s="1"/>
      <c r="C255" s="1"/>
      <c r="D255" s="1"/>
    </row>
    <row r="256" spans="1:4" ht="12.75" x14ac:dyDescent="0.2">
      <c r="A256" s="1"/>
      <c r="B256" s="1"/>
      <c r="C256" s="1"/>
      <c r="D256" s="1"/>
    </row>
    <row r="257" spans="1:4" ht="12.75" x14ac:dyDescent="0.2">
      <c r="A257" s="1"/>
      <c r="B257" s="1"/>
      <c r="C257" s="1"/>
      <c r="D257" s="1"/>
    </row>
    <row r="258" spans="1:4" ht="12.75" x14ac:dyDescent="0.2">
      <c r="A258" s="1"/>
      <c r="B258" s="1"/>
      <c r="C258" s="1"/>
      <c r="D258" s="1"/>
    </row>
    <row r="259" spans="1:4" ht="12.75" x14ac:dyDescent="0.2">
      <c r="A259" s="1"/>
      <c r="B259" s="1"/>
      <c r="C259" s="1"/>
      <c r="D259" s="1"/>
    </row>
    <row r="260" spans="1:4" ht="12.75" x14ac:dyDescent="0.2">
      <c r="A260" s="1"/>
      <c r="B260" s="1"/>
      <c r="C260" s="1"/>
      <c r="D260" s="1"/>
    </row>
    <row r="261" spans="1:4" ht="12.75" x14ac:dyDescent="0.2">
      <c r="A261" s="1"/>
      <c r="B261" s="1"/>
      <c r="C261" s="1"/>
      <c r="D261" s="1"/>
    </row>
    <row r="262" spans="1:4" ht="12.75" x14ac:dyDescent="0.2">
      <c r="A262" s="1"/>
      <c r="B262" s="1"/>
      <c r="C262" s="1"/>
      <c r="D262" s="1"/>
    </row>
    <row r="263" spans="1:4" ht="12.75" x14ac:dyDescent="0.2">
      <c r="A263" s="1"/>
      <c r="B263" s="1"/>
      <c r="C263" s="1"/>
      <c r="D263" s="1"/>
    </row>
    <row r="264" spans="1:4" ht="12.75" x14ac:dyDescent="0.2">
      <c r="A264" s="1"/>
      <c r="B264" s="1"/>
      <c r="C264" s="1"/>
      <c r="D264" s="1"/>
    </row>
    <row r="265" spans="1:4" ht="12.75" x14ac:dyDescent="0.2">
      <c r="A265" s="1"/>
      <c r="B265" s="1"/>
      <c r="C265" s="1"/>
      <c r="D265" s="1"/>
    </row>
    <row r="266" spans="1:4" ht="12.75" x14ac:dyDescent="0.2">
      <c r="A266" s="1"/>
      <c r="B266" s="1"/>
      <c r="C266" s="1"/>
      <c r="D266" s="1"/>
    </row>
    <row r="267" spans="1:4" ht="12.75" x14ac:dyDescent="0.2">
      <c r="A267" s="1"/>
      <c r="B267" s="1"/>
      <c r="C267" s="1"/>
      <c r="D267" s="1"/>
    </row>
    <row r="268" spans="1:4" ht="12.75" x14ac:dyDescent="0.2">
      <c r="A268" s="1"/>
      <c r="B268" s="1"/>
      <c r="C268" s="1"/>
      <c r="D268" s="1"/>
    </row>
    <row r="269" spans="1:4" ht="12.75" x14ac:dyDescent="0.2">
      <c r="A269" s="1"/>
      <c r="B269" s="1"/>
      <c r="C269" s="1"/>
      <c r="D269" s="1"/>
    </row>
    <row r="270" spans="1:4" ht="12.75" x14ac:dyDescent="0.2">
      <c r="A270" s="1"/>
      <c r="B270" s="1"/>
      <c r="C270" s="1"/>
      <c r="D270" s="1"/>
    </row>
    <row r="271" spans="1:4" ht="12.75" x14ac:dyDescent="0.2">
      <c r="A271" s="1"/>
      <c r="B271" s="1"/>
      <c r="C271" s="1"/>
      <c r="D271" s="1"/>
    </row>
    <row r="272" spans="1:4" ht="12.75" x14ac:dyDescent="0.2">
      <c r="A272" s="1"/>
      <c r="B272" s="1"/>
      <c r="C272" s="1"/>
      <c r="D272" s="1"/>
    </row>
    <row r="273" spans="1:4" ht="12.75" x14ac:dyDescent="0.2">
      <c r="A273" s="1"/>
      <c r="B273" s="1"/>
      <c r="C273" s="1"/>
      <c r="D273" s="1"/>
    </row>
    <row r="274" spans="1:4" ht="12.75" x14ac:dyDescent="0.2">
      <c r="A274" s="1"/>
      <c r="B274" s="1"/>
      <c r="C274" s="1"/>
      <c r="D274" s="1"/>
    </row>
    <row r="275" spans="1:4" ht="12.75" x14ac:dyDescent="0.2">
      <c r="A275" s="1"/>
      <c r="B275" s="1"/>
      <c r="C275" s="1"/>
      <c r="D275" s="1"/>
    </row>
    <row r="276" spans="1:4" ht="12.75" x14ac:dyDescent="0.2">
      <c r="A276" s="1"/>
      <c r="B276" s="1"/>
      <c r="C276" s="1"/>
      <c r="D276" s="1"/>
    </row>
    <row r="277" spans="1:4" ht="12.75" x14ac:dyDescent="0.2">
      <c r="A277" s="1"/>
      <c r="B277" s="1"/>
      <c r="C277" s="1"/>
      <c r="D277" s="1"/>
    </row>
    <row r="278" spans="1:4" ht="12.75" x14ac:dyDescent="0.2">
      <c r="A278" s="1"/>
      <c r="B278" s="1"/>
      <c r="C278" s="1"/>
      <c r="D278" s="1"/>
    </row>
    <row r="279" spans="1:4" ht="12.75" x14ac:dyDescent="0.2">
      <c r="A279" s="1"/>
      <c r="B279" s="1"/>
      <c r="C279" s="1"/>
      <c r="D279" s="1"/>
    </row>
    <row r="280" spans="1:4" ht="12.75" x14ac:dyDescent="0.2">
      <c r="A280" s="1"/>
      <c r="B280" s="1"/>
      <c r="C280" s="1"/>
      <c r="D280" s="1"/>
    </row>
    <row r="281" spans="1:4" ht="12.75" x14ac:dyDescent="0.2">
      <c r="A281" s="1"/>
      <c r="B281" s="1"/>
      <c r="C281" s="1"/>
      <c r="D281" s="1"/>
    </row>
    <row r="282" spans="1:4" ht="12.75" x14ac:dyDescent="0.2">
      <c r="A282" s="1"/>
      <c r="B282" s="1"/>
      <c r="C282" s="1"/>
      <c r="D282" s="1"/>
    </row>
    <row r="283" spans="1:4" ht="12.75" x14ac:dyDescent="0.2">
      <c r="A283" s="1"/>
      <c r="B283" s="1"/>
      <c r="C283" s="1"/>
      <c r="D283" s="1"/>
    </row>
    <row r="284" spans="1:4" ht="12.75" x14ac:dyDescent="0.2">
      <c r="A284" s="1"/>
      <c r="B284" s="1"/>
      <c r="C284" s="1"/>
      <c r="D284" s="1"/>
    </row>
    <row r="285" spans="1:4" ht="12.75" x14ac:dyDescent="0.2">
      <c r="A285" s="1"/>
      <c r="B285" s="1"/>
      <c r="C285" s="1"/>
      <c r="D285" s="1"/>
    </row>
    <row r="286" spans="1:4" ht="12.75" x14ac:dyDescent="0.2">
      <c r="A286" s="1"/>
      <c r="B286" s="1"/>
      <c r="C286" s="1"/>
      <c r="D286" s="1"/>
    </row>
    <row r="287" spans="1:4" ht="12.75" x14ac:dyDescent="0.2">
      <c r="A287" s="1"/>
      <c r="B287" s="1"/>
      <c r="C287" s="1"/>
      <c r="D287" s="1"/>
    </row>
    <row r="288" spans="1:4" ht="12.75" x14ac:dyDescent="0.2">
      <c r="A288" s="1"/>
      <c r="B288" s="1"/>
      <c r="C288" s="1"/>
      <c r="D288" s="1"/>
    </row>
    <row r="289" spans="1:4" ht="12.75" x14ac:dyDescent="0.2">
      <c r="A289" s="1"/>
      <c r="B289" s="1"/>
      <c r="C289" s="1"/>
      <c r="D289" s="1"/>
    </row>
    <row r="290" spans="1:4" ht="12.75" x14ac:dyDescent="0.2">
      <c r="A290" s="1"/>
      <c r="B290" s="1"/>
      <c r="C290" s="1"/>
      <c r="D290" s="1"/>
    </row>
    <row r="291" spans="1:4" ht="12.75" x14ac:dyDescent="0.2">
      <c r="A291" s="1"/>
      <c r="B291" s="1"/>
      <c r="C291" s="1"/>
      <c r="D291" s="1"/>
    </row>
    <row r="292" spans="1:4" ht="12.75" x14ac:dyDescent="0.2">
      <c r="A292" s="1"/>
      <c r="B292" s="1"/>
      <c r="C292" s="1"/>
      <c r="D292" s="1"/>
    </row>
    <row r="293" spans="1:4" ht="12.75" x14ac:dyDescent="0.2">
      <c r="A293" s="1"/>
      <c r="B293" s="1"/>
      <c r="C293" s="1"/>
      <c r="D293" s="1"/>
    </row>
    <row r="294" spans="1:4" ht="12.75" x14ac:dyDescent="0.2">
      <c r="A294" s="1"/>
      <c r="B294" s="1"/>
      <c r="C294" s="1"/>
      <c r="D294" s="1"/>
    </row>
    <row r="295" spans="1:4" ht="12.75" x14ac:dyDescent="0.2">
      <c r="A295" s="1"/>
      <c r="B295" s="1"/>
      <c r="C295" s="1"/>
      <c r="D295" s="1"/>
    </row>
    <row r="296" spans="1:4" ht="12.75" x14ac:dyDescent="0.2">
      <c r="A296" s="1"/>
      <c r="B296" s="1"/>
      <c r="C296" s="1"/>
      <c r="D296" s="1"/>
    </row>
    <row r="297" spans="1:4" ht="12.75" x14ac:dyDescent="0.2">
      <c r="A297" s="1"/>
      <c r="B297" s="1"/>
      <c r="C297" s="1"/>
      <c r="D297" s="1"/>
    </row>
    <row r="298" spans="1:4" ht="12.75" x14ac:dyDescent="0.2">
      <c r="A298" s="1"/>
      <c r="B298" s="1"/>
      <c r="C298" s="1"/>
      <c r="D298" s="1"/>
    </row>
    <row r="299" spans="1:4" ht="12.75" x14ac:dyDescent="0.2">
      <c r="A299" s="1"/>
      <c r="B299" s="1"/>
      <c r="C299" s="1"/>
      <c r="D299" s="1"/>
    </row>
    <row r="300" spans="1:4" ht="12.75" x14ac:dyDescent="0.2">
      <c r="A300" s="1"/>
      <c r="B300" s="1"/>
      <c r="C300" s="1"/>
      <c r="D300" s="1"/>
    </row>
    <row r="301" spans="1:4" ht="12.75" x14ac:dyDescent="0.2">
      <c r="A301" s="1"/>
      <c r="B301" s="1"/>
      <c r="C301" s="1"/>
      <c r="D301" s="1"/>
    </row>
    <row r="302" spans="1:4" ht="12.75" x14ac:dyDescent="0.2">
      <c r="A302" s="1"/>
      <c r="B302" s="1"/>
      <c r="C302" s="1"/>
      <c r="D302" s="1"/>
    </row>
    <row r="303" spans="1:4" ht="12.75" x14ac:dyDescent="0.2">
      <c r="A303" s="1"/>
      <c r="B303" s="1"/>
      <c r="C303" s="1"/>
      <c r="D303" s="1"/>
    </row>
    <row r="304" spans="1:4" ht="12.75" x14ac:dyDescent="0.2">
      <c r="A304" s="1"/>
      <c r="B304" s="1"/>
      <c r="C304" s="1"/>
      <c r="D304" s="1"/>
    </row>
    <row r="305" spans="1:4" ht="12.75" x14ac:dyDescent="0.2">
      <c r="A305" s="1"/>
      <c r="B305" s="1"/>
      <c r="C305" s="1"/>
      <c r="D305" s="1"/>
    </row>
    <row r="306" spans="1:4" ht="12.75" x14ac:dyDescent="0.2">
      <c r="A306" s="1"/>
      <c r="B306" s="1"/>
      <c r="C306" s="1"/>
      <c r="D306" s="1"/>
    </row>
    <row r="307" spans="1:4" ht="12.75" x14ac:dyDescent="0.2">
      <c r="A307" s="1"/>
      <c r="B307" s="1"/>
      <c r="C307" s="1"/>
      <c r="D307" s="1"/>
    </row>
    <row r="308" spans="1:4" ht="12.75" x14ac:dyDescent="0.2">
      <c r="A308" s="1"/>
      <c r="B308" s="1"/>
      <c r="C308" s="1"/>
      <c r="D308" s="1"/>
    </row>
    <row r="309" spans="1:4" ht="12.75" x14ac:dyDescent="0.2">
      <c r="A309" s="1"/>
      <c r="B309" s="1"/>
      <c r="C309" s="1"/>
      <c r="D309" s="1"/>
    </row>
    <row r="310" spans="1:4" ht="12.75" x14ac:dyDescent="0.2">
      <c r="A310" s="1"/>
      <c r="B310" s="1"/>
      <c r="C310" s="1"/>
      <c r="D310" s="1"/>
    </row>
    <row r="311" spans="1:4" ht="12.75" x14ac:dyDescent="0.2">
      <c r="A311" s="1"/>
      <c r="B311" s="1"/>
      <c r="C311" s="1"/>
      <c r="D311" s="1"/>
    </row>
    <row r="312" spans="1:4" ht="12.75" x14ac:dyDescent="0.2">
      <c r="A312" s="1"/>
      <c r="B312" s="1"/>
      <c r="C312" s="1"/>
      <c r="D312" s="1"/>
    </row>
    <row r="313" spans="1:4" ht="12.75" x14ac:dyDescent="0.2">
      <c r="A313" s="1"/>
      <c r="B313" s="1"/>
      <c r="C313" s="1"/>
      <c r="D313" s="1"/>
    </row>
    <row r="314" spans="1:4" ht="12.75" x14ac:dyDescent="0.2">
      <c r="A314" s="1"/>
      <c r="B314" s="1"/>
      <c r="C314" s="1"/>
      <c r="D314" s="1"/>
    </row>
    <row r="315" spans="1:4" ht="12.75" x14ac:dyDescent="0.2">
      <c r="A315" s="1"/>
      <c r="B315" s="1"/>
      <c r="C315" s="1"/>
      <c r="D315" s="1"/>
    </row>
    <row r="316" spans="1:4" ht="12.75" x14ac:dyDescent="0.2">
      <c r="A316" s="1"/>
      <c r="B316" s="1"/>
      <c r="C316" s="1"/>
      <c r="D316" s="1"/>
    </row>
    <row r="317" spans="1:4" ht="12.75" x14ac:dyDescent="0.2">
      <c r="A317" s="1"/>
      <c r="B317" s="1"/>
      <c r="C317" s="1"/>
      <c r="D317" s="1"/>
    </row>
    <row r="318" spans="1:4" ht="12.75" x14ac:dyDescent="0.2">
      <c r="A318" s="1"/>
      <c r="B318" s="1"/>
      <c r="C318" s="1"/>
      <c r="D318" s="1"/>
    </row>
    <row r="319" spans="1:4" ht="12.75" x14ac:dyDescent="0.2">
      <c r="A319" s="1"/>
      <c r="B319" s="1"/>
      <c r="C319" s="1"/>
      <c r="D319" s="1"/>
    </row>
    <row r="320" spans="1:4" ht="12.75" x14ac:dyDescent="0.2">
      <c r="A320" s="1"/>
      <c r="B320" s="1"/>
      <c r="C320" s="1"/>
      <c r="D320" s="1"/>
    </row>
    <row r="321" spans="1:4" ht="12.75" x14ac:dyDescent="0.2">
      <c r="A321" s="1"/>
      <c r="B321" s="1"/>
      <c r="C321" s="1"/>
      <c r="D321" s="1"/>
    </row>
    <row r="322" spans="1:4" ht="12.75" x14ac:dyDescent="0.2">
      <c r="A322" s="1"/>
      <c r="B322" s="1"/>
      <c r="C322" s="1"/>
      <c r="D322" s="1"/>
    </row>
    <row r="323" spans="1:4" ht="12.75" x14ac:dyDescent="0.2">
      <c r="A323" s="1"/>
      <c r="B323" s="1"/>
      <c r="C323" s="1"/>
      <c r="D323" s="1"/>
    </row>
    <row r="324" spans="1:4" ht="12.75" x14ac:dyDescent="0.2">
      <c r="A324" s="1"/>
      <c r="B324" s="1"/>
      <c r="C324" s="1"/>
      <c r="D324" s="1"/>
    </row>
    <row r="325" spans="1:4" ht="12.75" x14ac:dyDescent="0.2">
      <c r="A325" s="1"/>
      <c r="B325" s="1"/>
      <c r="C325" s="1"/>
      <c r="D325" s="1"/>
    </row>
    <row r="326" spans="1:4" ht="12.75" x14ac:dyDescent="0.2">
      <c r="A326" s="1"/>
      <c r="B326" s="1"/>
      <c r="C326" s="1"/>
      <c r="D326" s="1"/>
    </row>
    <row r="327" spans="1:4" ht="12.75" x14ac:dyDescent="0.2">
      <c r="A327" s="1"/>
      <c r="B327" s="1"/>
      <c r="C327" s="1"/>
      <c r="D327" s="1"/>
    </row>
    <row r="328" spans="1:4" ht="12.75" x14ac:dyDescent="0.2">
      <c r="A328" s="1"/>
      <c r="B328" s="1"/>
      <c r="C328" s="1"/>
      <c r="D328" s="1"/>
    </row>
    <row r="329" spans="1:4" ht="12.75" x14ac:dyDescent="0.2">
      <c r="A329" s="1"/>
      <c r="B329" s="1"/>
      <c r="C329" s="1"/>
      <c r="D329" s="1"/>
    </row>
    <row r="330" spans="1:4" ht="12.75" x14ac:dyDescent="0.2">
      <c r="A330" s="1"/>
      <c r="B330" s="1"/>
      <c r="C330" s="1"/>
      <c r="D330" s="1"/>
    </row>
    <row r="331" spans="1:4" ht="12.75" x14ac:dyDescent="0.2">
      <c r="A331" s="1"/>
      <c r="B331" s="1"/>
      <c r="C331" s="1"/>
      <c r="D331" s="1"/>
    </row>
    <row r="332" spans="1:4" ht="12.75" x14ac:dyDescent="0.2">
      <c r="A332" s="1"/>
      <c r="B332" s="1"/>
      <c r="C332" s="1"/>
      <c r="D332" s="1"/>
    </row>
    <row r="333" spans="1:4" ht="12.75" x14ac:dyDescent="0.2">
      <c r="A333" s="1"/>
      <c r="B333" s="1"/>
      <c r="C333" s="1"/>
      <c r="D333" s="1"/>
    </row>
    <row r="334" spans="1:4" ht="12.75" x14ac:dyDescent="0.2">
      <c r="A334" s="1"/>
      <c r="B334" s="1"/>
      <c r="C334" s="1"/>
      <c r="D334" s="1"/>
    </row>
    <row r="335" spans="1:4" ht="12.75" x14ac:dyDescent="0.2">
      <c r="A335" s="1"/>
      <c r="B335" s="1"/>
      <c r="C335" s="1"/>
      <c r="D335" s="1"/>
    </row>
    <row r="336" spans="1:4" ht="12.75" x14ac:dyDescent="0.2">
      <c r="A336" s="1"/>
      <c r="B336" s="1"/>
      <c r="C336" s="1"/>
      <c r="D336" s="1"/>
    </row>
    <row r="337" spans="1:4" ht="12.75" x14ac:dyDescent="0.2">
      <c r="A337" s="1"/>
      <c r="B337" s="1"/>
      <c r="C337" s="1"/>
      <c r="D337" s="1"/>
    </row>
    <row r="338" spans="1:4" ht="12.75" x14ac:dyDescent="0.2">
      <c r="A338" s="1"/>
      <c r="B338" s="1"/>
      <c r="C338" s="1"/>
      <c r="D338" s="1"/>
    </row>
    <row r="339" spans="1:4" ht="12.75" x14ac:dyDescent="0.2">
      <c r="A339" s="1"/>
      <c r="B339" s="1"/>
      <c r="C339" s="1"/>
      <c r="D339" s="1"/>
    </row>
    <row r="340" spans="1:4" ht="12.75" x14ac:dyDescent="0.2">
      <c r="A340" s="1"/>
      <c r="B340" s="1"/>
      <c r="C340" s="1"/>
      <c r="D340" s="1"/>
    </row>
    <row r="341" spans="1:4" ht="12.75" x14ac:dyDescent="0.2">
      <c r="A341" s="1"/>
      <c r="B341" s="1"/>
      <c r="C341" s="1"/>
      <c r="D341" s="1"/>
    </row>
    <row r="342" spans="1:4" ht="12.75" x14ac:dyDescent="0.2">
      <c r="A342" s="1"/>
      <c r="B342" s="1"/>
      <c r="C342" s="1"/>
      <c r="D342" s="1"/>
    </row>
    <row r="343" spans="1:4" ht="12.75" x14ac:dyDescent="0.2">
      <c r="A343" s="1"/>
      <c r="B343" s="1"/>
      <c r="C343" s="1"/>
      <c r="D343" s="1"/>
    </row>
    <row r="344" spans="1:4" ht="12.75" x14ac:dyDescent="0.2">
      <c r="A344" s="1"/>
      <c r="B344" s="1"/>
      <c r="C344" s="1"/>
      <c r="D344" s="1"/>
    </row>
    <row r="345" spans="1:4" ht="12.75" x14ac:dyDescent="0.2">
      <c r="A345" s="1"/>
      <c r="B345" s="1"/>
      <c r="C345" s="1"/>
      <c r="D345" s="1"/>
    </row>
    <row r="346" spans="1:4" ht="12.75" x14ac:dyDescent="0.2">
      <c r="A346" s="1"/>
      <c r="B346" s="1"/>
      <c r="C346" s="1"/>
      <c r="D346" s="1"/>
    </row>
    <row r="347" spans="1:4" ht="12.75" x14ac:dyDescent="0.2">
      <c r="A347" s="1"/>
      <c r="B347" s="1"/>
      <c r="C347" s="1"/>
      <c r="D347" s="1"/>
    </row>
    <row r="348" spans="1:4" ht="12.75" x14ac:dyDescent="0.2">
      <c r="A348" s="1"/>
      <c r="B348" s="1"/>
      <c r="C348" s="1"/>
      <c r="D348" s="1"/>
    </row>
    <row r="349" spans="1:4" ht="12.75" x14ac:dyDescent="0.2">
      <c r="A349" s="1"/>
      <c r="B349" s="1"/>
      <c r="C349" s="1"/>
      <c r="D349" s="1"/>
    </row>
    <row r="350" spans="1:4" ht="12.75" x14ac:dyDescent="0.2">
      <c r="A350" s="1"/>
      <c r="B350" s="1"/>
      <c r="C350" s="1"/>
      <c r="D350" s="1"/>
    </row>
    <row r="351" spans="1:4" ht="12.75" x14ac:dyDescent="0.2">
      <c r="A351" s="1"/>
      <c r="B351" s="1"/>
      <c r="C351" s="1"/>
      <c r="D351" s="1"/>
    </row>
    <row r="352" spans="1:4" ht="12.75" x14ac:dyDescent="0.2">
      <c r="A352" s="1"/>
      <c r="B352" s="1"/>
      <c r="C352" s="1"/>
      <c r="D352" s="1"/>
    </row>
    <row r="353" spans="1:4" ht="12.75" x14ac:dyDescent="0.2">
      <c r="A353" s="1"/>
      <c r="B353" s="1"/>
      <c r="C353" s="1"/>
      <c r="D353" s="1"/>
    </row>
    <row r="354" spans="1:4" ht="12.75" x14ac:dyDescent="0.2">
      <c r="A354" s="1"/>
      <c r="B354" s="1"/>
      <c r="C354" s="1"/>
      <c r="D354" s="1"/>
    </row>
    <row r="355" spans="1:4" ht="12.75" x14ac:dyDescent="0.2">
      <c r="A355" s="1"/>
      <c r="B355" s="1"/>
      <c r="C355" s="1"/>
      <c r="D355" s="1"/>
    </row>
    <row r="356" spans="1:4" ht="12.75" x14ac:dyDescent="0.2">
      <c r="A356" s="1"/>
      <c r="B356" s="1"/>
      <c r="C356" s="1"/>
      <c r="D356" s="1"/>
    </row>
    <row r="357" spans="1:4" ht="12.75" x14ac:dyDescent="0.2">
      <c r="A357" s="1"/>
      <c r="B357" s="1"/>
      <c r="C357" s="1"/>
      <c r="D357" s="1"/>
    </row>
    <row r="358" spans="1:4" ht="12.75" x14ac:dyDescent="0.2">
      <c r="A358" s="1"/>
      <c r="B358" s="1"/>
      <c r="C358" s="1"/>
      <c r="D358" s="1"/>
    </row>
    <row r="359" spans="1:4" ht="12.75" x14ac:dyDescent="0.2">
      <c r="A359" s="1"/>
      <c r="B359" s="1"/>
      <c r="C359" s="1"/>
      <c r="D359" s="1"/>
    </row>
    <row r="360" spans="1:4" ht="12.75" x14ac:dyDescent="0.2">
      <c r="A360" s="1"/>
      <c r="B360" s="1"/>
      <c r="C360" s="1"/>
      <c r="D360" s="1"/>
    </row>
    <row r="361" spans="1:4" ht="12.75" x14ac:dyDescent="0.2">
      <c r="A361" s="1"/>
      <c r="B361" s="1"/>
      <c r="C361" s="1"/>
      <c r="D361" s="1"/>
    </row>
    <row r="362" spans="1:4" ht="12.75" x14ac:dyDescent="0.2">
      <c r="A362" s="1"/>
      <c r="B362" s="1"/>
      <c r="C362" s="1"/>
      <c r="D362" s="1"/>
    </row>
    <row r="363" spans="1:4" ht="12.75" x14ac:dyDescent="0.2">
      <c r="A363" s="1"/>
      <c r="B363" s="1"/>
      <c r="C363" s="1"/>
      <c r="D363" s="1"/>
    </row>
    <row r="364" spans="1:4" ht="12.75" x14ac:dyDescent="0.2">
      <c r="A364" s="1"/>
      <c r="B364" s="1"/>
      <c r="C364" s="1"/>
      <c r="D364" s="1"/>
    </row>
    <row r="365" spans="1:4" ht="12.75" x14ac:dyDescent="0.2">
      <c r="A365" s="1"/>
      <c r="B365" s="1"/>
      <c r="C365" s="1"/>
      <c r="D365" s="1"/>
    </row>
    <row r="366" spans="1:4" ht="12.75" x14ac:dyDescent="0.2">
      <c r="A366" s="1"/>
      <c r="B366" s="1"/>
      <c r="C366" s="1"/>
      <c r="D366" s="1"/>
    </row>
    <row r="367" spans="1:4" ht="12.75" x14ac:dyDescent="0.2">
      <c r="A367" s="1"/>
      <c r="B367" s="1"/>
      <c r="C367" s="1"/>
      <c r="D367" s="1"/>
    </row>
    <row r="368" spans="1:4" ht="12.75" x14ac:dyDescent="0.2">
      <c r="A368" s="1"/>
      <c r="B368" s="1"/>
      <c r="C368" s="1"/>
      <c r="D368" s="1"/>
    </row>
    <row r="369" spans="1:4" ht="12.75" x14ac:dyDescent="0.2">
      <c r="A369" s="1"/>
      <c r="B369" s="1"/>
      <c r="C369" s="1"/>
      <c r="D369" s="1"/>
    </row>
    <row r="370" spans="1:4" ht="12.75" x14ac:dyDescent="0.2">
      <c r="A370" s="1"/>
      <c r="B370" s="1"/>
      <c r="C370" s="1"/>
      <c r="D370" s="1"/>
    </row>
    <row r="371" spans="1:4" ht="12.75" x14ac:dyDescent="0.2">
      <c r="A371" s="1"/>
      <c r="B371" s="1"/>
      <c r="C371" s="1"/>
      <c r="D371" s="1"/>
    </row>
    <row r="372" spans="1:4" ht="12.75" x14ac:dyDescent="0.2">
      <c r="A372" s="1"/>
      <c r="B372" s="1"/>
      <c r="C372" s="1"/>
      <c r="D372" s="1"/>
    </row>
    <row r="373" spans="1:4" ht="12.75" x14ac:dyDescent="0.2">
      <c r="A373" s="1"/>
      <c r="B373" s="1"/>
      <c r="C373" s="1"/>
      <c r="D373" s="1"/>
    </row>
    <row r="374" spans="1:4" ht="12.75" x14ac:dyDescent="0.2">
      <c r="A374" s="1"/>
      <c r="B374" s="1"/>
      <c r="C374" s="1"/>
      <c r="D374" s="1"/>
    </row>
    <row r="375" spans="1:4" ht="12.75" x14ac:dyDescent="0.2">
      <c r="A375" s="1"/>
      <c r="B375" s="1"/>
      <c r="C375" s="1"/>
      <c r="D375" s="1"/>
    </row>
    <row r="376" spans="1:4" ht="12.75" x14ac:dyDescent="0.2">
      <c r="A376" s="1"/>
      <c r="B376" s="1"/>
      <c r="C376" s="1"/>
      <c r="D376" s="1"/>
    </row>
    <row r="377" spans="1:4" ht="12.75" x14ac:dyDescent="0.2">
      <c r="A377" s="1"/>
      <c r="B377" s="1"/>
      <c r="C377" s="1"/>
      <c r="D377" s="1"/>
    </row>
    <row r="378" spans="1:4" ht="12.75" x14ac:dyDescent="0.2">
      <c r="A378" s="1"/>
      <c r="B378" s="1"/>
      <c r="C378" s="1"/>
      <c r="D378" s="1"/>
    </row>
    <row r="379" spans="1:4" ht="12.75" x14ac:dyDescent="0.2">
      <c r="A379" s="1"/>
      <c r="B379" s="1"/>
      <c r="C379" s="1"/>
      <c r="D379" s="1"/>
    </row>
    <row r="380" spans="1:4" ht="12.75" x14ac:dyDescent="0.2">
      <c r="A380" s="1"/>
      <c r="B380" s="1"/>
      <c r="C380" s="1"/>
      <c r="D380" s="1"/>
    </row>
    <row r="381" spans="1:4" ht="12.75" x14ac:dyDescent="0.2">
      <c r="A381" s="1"/>
      <c r="B381" s="1"/>
      <c r="C381" s="1"/>
      <c r="D381" s="1"/>
    </row>
    <row r="382" spans="1:4" ht="12.75" x14ac:dyDescent="0.2">
      <c r="A382" s="1"/>
      <c r="B382" s="1"/>
      <c r="C382" s="1"/>
      <c r="D382" s="1"/>
    </row>
    <row r="383" spans="1:4" ht="12.75" x14ac:dyDescent="0.2">
      <c r="A383" s="1"/>
      <c r="B383" s="1"/>
      <c r="C383" s="1"/>
      <c r="D383" s="1"/>
    </row>
    <row r="384" spans="1:4" ht="12.75" x14ac:dyDescent="0.2">
      <c r="A384" s="1"/>
      <c r="B384" s="1"/>
      <c r="C384" s="1"/>
      <c r="D384" s="1"/>
    </row>
    <row r="385" spans="1:4" ht="12.75" x14ac:dyDescent="0.2">
      <c r="A385" s="1"/>
      <c r="B385" s="1"/>
      <c r="C385" s="1"/>
      <c r="D385" s="1"/>
    </row>
    <row r="386" spans="1:4" ht="12.75" x14ac:dyDescent="0.2">
      <c r="A386" s="1"/>
      <c r="B386" s="1"/>
      <c r="C386" s="1"/>
      <c r="D386" s="1"/>
    </row>
    <row r="387" spans="1:4" ht="12.75" x14ac:dyDescent="0.2">
      <c r="A387" s="1"/>
      <c r="B387" s="1"/>
      <c r="C387" s="1"/>
      <c r="D387" s="1"/>
    </row>
    <row r="388" spans="1:4" ht="12.75" x14ac:dyDescent="0.2">
      <c r="A388" s="1"/>
      <c r="B388" s="1"/>
      <c r="C388" s="1"/>
      <c r="D388" s="1"/>
    </row>
    <row r="389" spans="1:4" ht="12.75" x14ac:dyDescent="0.2">
      <c r="A389" s="1"/>
      <c r="B389" s="1"/>
      <c r="C389" s="1"/>
      <c r="D389" s="1"/>
    </row>
    <row r="390" spans="1:4" ht="12.75" x14ac:dyDescent="0.2">
      <c r="A390" s="1"/>
      <c r="B390" s="1"/>
      <c r="C390" s="1"/>
      <c r="D390" s="1"/>
    </row>
    <row r="391" spans="1:4" ht="12.75" x14ac:dyDescent="0.2">
      <c r="A391" s="1"/>
      <c r="B391" s="1"/>
      <c r="C391" s="1"/>
      <c r="D391" s="1"/>
    </row>
    <row r="392" spans="1:4" ht="12.75" x14ac:dyDescent="0.2">
      <c r="A392" s="1"/>
      <c r="B392" s="1"/>
      <c r="C392" s="1"/>
      <c r="D392" s="1"/>
    </row>
    <row r="393" spans="1:4" ht="12.75" x14ac:dyDescent="0.2">
      <c r="A393" s="1"/>
      <c r="B393" s="1"/>
      <c r="C393" s="1"/>
      <c r="D393" s="1"/>
    </row>
    <row r="394" spans="1:4" ht="12.75" x14ac:dyDescent="0.2">
      <c r="A394" s="1"/>
      <c r="B394" s="1"/>
      <c r="C394" s="1"/>
      <c r="D394" s="1"/>
    </row>
    <row r="395" spans="1:4" ht="12.75" x14ac:dyDescent="0.2">
      <c r="A395" s="1"/>
      <c r="B395" s="1"/>
      <c r="C395" s="1"/>
      <c r="D395" s="1"/>
    </row>
    <row r="396" spans="1:4" ht="12.75" x14ac:dyDescent="0.2">
      <c r="A396" s="1"/>
      <c r="B396" s="1"/>
      <c r="C396" s="1"/>
      <c r="D396" s="1"/>
    </row>
    <row r="397" spans="1:4" ht="12.75" x14ac:dyDescent="0.2">
      <c r="A397" s="1"/>
      <c r="B397" s="1"/>
      <c r="C397" s="1"/>
      <c r="D397" s="1"/>
    </row>
    <row r="398" spans="1:4" ht="12.75" x14ac:dyDescent="0.2">
      <c r="A398" s="1"/>
      <c r="B398" s="1"/>
      <c r="C398" s="1"/>
      <c r="D398" s="1"/>
    </row>
    <row r="399" spans="1:4" ht="12.75" x14ac:dyDescent="0.2">
      <c r="A399" s="1"/>
      <c r="B399" s="1"/>
      <c r="C399" s="1"/>
      <c r="D399" s="1"/>
    </row>
    <row r="400" spans="1:4" ht="12.75" x14ac:dyDescent="0.2">
      <c r="A400" s="1"/>
      <c r="B400" s="1"/>
      <c r="C400" s="1"/>
      <c r="D400" s="1"/>
    </row>
    <row r="401" spans="1:4" ht="12.75" x14ac:dyDescent="0.2">
      <c r="A401" s="1"/>
      <c r="B401" s="1"/>
      <c r="C401" s="1"/>
      <c r="D401" s="1"/>
    </row>
    <row r="402" spans="1:4" ht="12.75" x14ac:dyDescent="0.2">
      <c r="A402" s="1"/>
      <c r="B402" s="1"/>
      <c r="C402" s="1"/>
      <c r="D402" s="1"/>
    </row>
    <row r="403" spans="1:4" ht="12.75" x14ac:dyDescent="0.2">
      <c r="A403" s="1"/>
      <c r="B403" s="1"/>
      <c r="C403" s="1"/>
      <c r="D403" s="1"/>
    </row>
    <row r="404" spans="1:4" ht="12.75" x14ac:dyDescent="0.2">
      <c r="A404" s="1"/>
      <c r="B404" s="1"/>
      <c r="C404" s="1"/>
      <c r="D404" s="1"/>
    </row>
    <row r="405" spans="1:4" ht="12.75" x14ac:dyDescent="0.2">
      <c r="A405" s="1"/>
      <c r="B405" s="1"/>
      <c r="C405" s="1"/>
      <c r="D405" s="1"/>
    </row>
    <row r="406" spans="1:4" ht="12.75" x14ac:dyDescent="0.2">
      <c r="A406" s="1"/>
      <c r="B406" s="1"/>
      <c r="C406" s="1"/>
      <c r="D406" s="1"/>
    </row>
    <row r="407" spans="1:4" ht="12.75" x14ac:dyDescent="0.2">
      <c r="A407" s="1"/>
      <c r="B407" s="1"/>
      <c r="C407" s="1"/>
      <c r="D407" s="1"/>
    </row>
    <row r="408" spans="1:4" ht="12.75" x14ac:dyDescent="0.2">
      <c r="A408" s="1"/>
      <c r="B408" s="1"/>
      <c r="C408" s="1"/>
      <c r="D408" s="1"/>
    </row>
    <row r="409" spans="1:4" ht="12.75" x14ac:dyDescent="0.2">
      <c r="A409" s="1"/>
      <c r="B409" s="1"/>
      <c r="C409" s="1"/>
      <c r="D409" s="1"/>
    </row>
    <row r="410" spans="1:4" ht="12.75" x14ac:dyDescent="0.2">
      <c r="A410" s="1"/>
      <c r="B410" s="1"/>
      <c r="C410" s="1"/>
      <c r="D410" s="1"/>
    </row>
    <row r="411" spans="1:4" ht="12.75" x14ac:dyDescent="0.2">
      <c r="A411" s="1"/>
      <c r="B411" s="1"/>
      <c r="C411" s="1"/>
      <c r="D411" s="1"/>
    </row>
    <row r="412" spans="1:4" ht="12.75" x14ac:dyDescent="0.2">
      <c r="A412" s="1"/>
      <c r="B412" s="1"/>
      <c r="C412" s="1"/>
      <c r="D412" s="1"/>
    </row>
    <row r="413" spans="1:4" ht="12.75" x14ac:dyDescent="0.2">
      <c r="A413" s="1"/>
      <c r="B413" s="1"/>
      <c r="C413" s="1"/>
      <c r="D413" s="1"/>
    </row>
    <row r="414" spans="1:4" ht="12.75" x14ac:dyDescent="0.2">
      <c r="A414" s="1"/>
      <c r="B414" s="1"/>
      <c r="C414" s="1"/>
      <c r="D414" s="1"/>
    </row>
    <row r="415" spans="1:4" ht="12.75" x14ac:dyDescent="0.2">
      <c r="A415" s="1"/>
      <c r="B415" s="1"/>
      <c r="C415" s="1"/>
      <c r="D415" s="1"/>
    </row>
    <row r="416" spans="1:4" ht="12.75" x14ac:dyDescent="0.2">
      <c r="A416" s="1"/>
      <c r="B416" s="1"/>
      <c r="C416" s="1"/>
      <c r="D416" s="1"/>
    </row>
    <row r="417" spans="1:4" ht="12.75" x14ac:dyDescent="0.2">
      <c r="A417" s="1"/>
      <c r="B417" s="1"/>
      <c r="C417" s="1"/>
      <c r="D417" s="1"/>
    </row>
    <row r="418" spans="1:4" ht="12.75" x14ac:dyDescent="0.2">
      <c r="A418" s="1"/>
      <c r="B418" s="1"/>
      <c r="C418" s="1"/>
      <c r="D418" s="1"/>
    </row>
    <row r="419" spans="1:4" ht="12.75" x14ac:dyDescent="0.2">
      <c r="A419" s="1"/>
      <c r="B419" s="1"/>
      <c r="C419" s="1"/>
      <c r="D419" s="1"/>
    </row>
    <row r="420" spans="1:4" ht="12.75" x14ac:dyDescent="0.2">
      <c r="A420" s="1"/>
      <c r="B420" s="1"/>
      <c r="C420" s="1"/>
      <c r="D420" s="1"/>
    </row>
    <row r="421" spans="1:4" ht="12.75" x14ac:dyDescent="0.2">
      <c r="A421" s="1"/>
      <c r="B421" s="1"/>
      <c r="C421" s="1"/>
      <c r="D421" s="1"/>
    </row>
    <row r="422" spans="1:4" ht="12.75" x14ac:dyDescent="0.2">
      <c r="A422" s="1"/>
      <c r="B422" s="1"/>
      <c r="C422" s="1"/>
      <c r="D422" s="1"/>
    </row>
    <row r="423" spans="1:4" ht="12.75" x14ac:dyDescent="0.2">
      <c r="A423" s="1"/>
      <c r="B423" s="1"/>
      <c r="C423" s="1"/>
      <c r="D423" s="1"/>
    </row>
    <row r="424" spans="1:4" ht="12.75" x14ac:dyDescent="0.2">
      <c r="A424" s="1"/>
      <c r="B424" s="1"/>
      <c r="C424" s="1"/>
      <c r="D424" s="1"/>
    </row>
    <row r="425" spans="1:4" ht="12.75" x14ac:dyDescent="0.2">
      <c r="A425" s="1"/>
      <c r="B425" s="1"/>
      <c r="C425" s="1"/>
      <c r="D425" s="1"/>
    </row>
    <row r="426" spans="1:4" ht="12.75" x14ac:dyDescent="0.2">
      <c r="A426" s="1"/>
      <c r="B426" s="1"/>
      <c r="C426" s="1"/>
      <c r="D426" s="1"/>
    </row>
    <row r="427" spans="1:4" ht="12.75" x14ac:dyDescent="0.2">
      <c r="A427" s="1"/>
      <c r="B427" s="1"/>
      <c r="C427" s="1"/>
      <c r="D427" s="1"/>
    </row>
    <row r="428" spans="1:4" ht="12.75" x14ac:dyDescent="0.2">
      <c r="A428" s="1"/>
      <c r="B428" s="1"/>
      <c r="C428" s="1"/>
      <c r="D428" s="1"/>
    </row>
    <row r="429" spans="1:4" ht="12.75" x14ac:dyDescent="0.2">
      <c r="A429" s="1"/>
      <c r="B429" s="1"/>
      <c r="C429" s="1"/>
      <c r="D429" s="1"/>
    </row>
    <row r="430" spans="1:4" ht="12.75" x14ac:dyDescent="0.2">
      <c r="A430" s="1"/>
      <c r="B430" s="1"/>
      <c r="C430" s="1"/>
      <c r="D430" s="1"/>
    </row>
    <row r="431" spans="1:4" ht="12.75" x14ac:dyDescent="0.2">
      <c r="A431" s="1"/>
      <c r="B431" s="1"/>
      <c r="C431" s="1"/>
      <c r="D431" s="1"/>
    </row>
    <row r="432" spans="1:4" ht="12.75" x14ac:dyDescent="0.2">
      <c r="A432" s="1"/>
      <c r="B432" s="1"/>
      <c r="C432" s="1"/>
      <c r="D432" s="1"/>
    </row>
    <row r="433" spans="1:4" ht="12.75" x14ac:dyDescent="0.2">
      <c r="A433" s="1"/>
      <c r="B433" s="1"/>
      <c r="C433" s="1"/>
      <c r="D433" s="1"/>
    </row>
    <row r="434" spans="1:4" ht="12.75" x14ac:dyDescent="0.2">
      <c r="A434" s="1"/>
      <c r="B434" s="1"/>
      <c r="C434" s="1"/>
      <c r="D434" s="1"/>
    </row>
    <row r="435" spans="1:4" ht="12.75" x14ac:dyDescent="0.2">
      <c r="A435" s="1"/>
      <c r="B435" s="1"/>
      <c r="C435" s="1"/>
      <c r="D435" s="1"/>
    </row>
    <row r="436" spans="1:4" ht="12.75" x14ac:dyDescent="0.2">
      <c r="A436" s="1"/>
      <c r="B436" s="1"/>
      <c r="C436" s="1"/>
      <c r="D436" s="1"/>
    </row>
    <row r="437" spans="1:4" ht="12.75" x14ac:dyDescent="0.2">
      <c r="A437" s="1"/>
      <c r="B437" s="1"/>
      <c r="C437" s="1"/>
      <c r="D437" s="1"/>
    </row>
    <row r="438" spans="1:4" ht="12.75" x14ac:dyDescent="0.2">
      <c r="A438" s="1"/>
      <c r="B438" s="1"/>
      <c r="C438" s="1"/>
      <c r="D438" s="1"/>
    </row>
    <row r="439" spans="1:4" ht="12.75" x14ac:dyDescent="0.2">
      <c r="A439" s="1"/>
      <c r="B439" s="1"/>
      <c r="C439" s="1"/>
      <c r="D439" s="1"/>
    </row>
    <row r="440" spans="1:4" ht="12.75" x14ac:dyDescent="0.2">
      <c r="A440" s="1"/>
      <c r="B440" s="1"/>
      <c r="C440" s="1"/>
      <c r="D440" s="1"/>
    </row>
    <row r="441" spans="1:4" ht="12.75" x14ac:dyDescent="0.2">
      <c r="A441" s="1"/>
      <c r="B441" s="1"/>
      <c r="C441" s="1"/>
      <c r="D441" s="1"/>
    </row>
    <row r="442" spans="1:4" ht="12.75" x14ac:dyDescent="0.2">
      <c r="A442" s="1"/>
      <c r="B442" s="1"/>
      <c r="C442" s="1"/>
      <c r="D442" s="1"/>
    </row>
    <row r="443" spans="1:4" ht="12.75" x14ac:dyDescent="0.2">
      <c r="A443" s="1"/>
      <c r="B443" s="1"/>
      <c r="C443" s="1"/>
      <c r="D443" s="1"/>
    </row>
    <row r="444" spans="1:4" ht="12.75" x14ac:dyDescent="0.2">
      <c r="A444" s="1"/>
      <c r="B444" s="1"/>
      <c r="C444" s="1"/>
      <c r="D444" s="1"/>
    </row>
    <row r="445" spans="1:4" ht="12.75" x14ac:dyDescent="0.2">
      <c r="A445" s="1"/>
      <c r="B445" s="1"/>
      <c r="C445" s="1"/>
      <c r="D445" s="1"/>
    </row>
    <row r="446" spans="1:4" ht="12.75" x14ac:dyDescent="0.2">
      <c r="A446" s="1"/>
      <c r="B446" s="1"/>
      <c r="C446" s="1"/>
      <c r="D446" s="1"/>
    </row>
    <row r="447" spans="1:4" ht="12.75" x14ac:dyDescent="0.2">
      <c r="A447" s="1"/>
      <c r="B447" s="1"/>
      <c r="C447" s="1"/>
      <c r="D447" s="1"/>
    </row>
    <row r="448" spans="1:4" ht="12.75" x14ac:dyDescent="0.2">
      <c r="A448" s="1"/>
      <c r="B448" s="1"/>
      <c r="C448" s="1"/>
      <c r="D448" s="1"/>
    </row>
    <row r="449" spans="1:4" ht="12.75" x14ac:dyDescent="0.2">
      <c r="A449" s="1"/>
      <c r="B449" s="1"/>
      <c r="C449" s="1"/>
      <c r="D449" s="1"/>
    </row>
    <row r="450" spans="1:4" ht="12.75" x14ac:dyDescent="0.2">
      <c r="A450" s="1"/>
      <c r="B450" s="1"/>
      <c r="C450" s="1"/>
      <c r="D450" s="1"/>
    </row>
    <row r="451" spans="1:4" ht="12.75" x14ac:dyDescent="0.2">
      <c r="A451" s="1"/>
      <c r="B451" s="1"/>
      <c r="C451" s="1"/>
      <c r="D451" s="1"/>
    </row>
    <row r="452" spans="1:4" ht="12.75" x14ac:dyDescent="0.2">
      <c r="A452" s="1"/>
      <c r="B452" s="1"/>
      <c r="C452" s="1"/>
      <c r="D452" s="1"/>
    </row>
    <row r="453" spans="1:4" ht="12.75" x14ac:dyDescent="0.2">
      <c r="A453" s="1"/>
      <c r="B453" s="1"/>
      <c r="C453" s="1"/>
      <c r="D453" s="1"/>
    </row>
    <row r="454" spans="1:4" ht="12.75" x14ac:dyDescent="0.2">
      <c r="A454" s="1"/>
      <c r="B454" s="1"/>
      <c r="C454" s="1"/>
      <c r="D454" s="1"/>
    </row>
    <row r="455" spans="1:4" ht="12.75" x14ac:dyDescent="0.2">
      <c r="A455" s="1"/>
      <c r="B455" s="1"/>
      <c r="C455" s="1"/>
      <c r="D455" s="1"/>
    </row>
    <row r="456" spans="1:4" ht="12.75" x14ac:dyDescent="0.2">
      <c r="A456" s="1"/>
      <c r="B456" s="1"/>
      <c r="C456" s="1"/>
      <c r="D456" s="1"/>
    </row>
    <row r="457" spans="1:4" ht="12.75" x14ac:dyDescent="0.2">
      <c r="A457" s="1"/>
      <c r="B457" s="1"/>
      <c r="C457" s="1"/>
      <c r="D457" s="1"/>
    </row>
    <row r="458" spans="1:4" ht="12.75" x14ac:dyDescent="0.2">
      <c r="A458" s="1"/>
      <c r="B458" s="1"/>
      <c r="C458" s="1"/>
      <c r="D458" s="1"/>
    </row>
    <row r="459" spans="1:4" ht="12.75" x14ac:dyDescent="0.2">
      <c r="A459" s="1"/>
      <c r="B459" s="1"/>
      <c r="C459" s="1"/>
      <c r="D459" s="1"/>
    </row>
    <row r="460" spans="1:4" ht="12.75" x14ac:dyDescent="0.2">
      <c r="A460" s="1"/>
      <c r="B460" s="1"/>
      <c r="C460" s="1"/>
      <c r="D460" s="1"/>
    </row>
    <row r="461" spans="1:4" ht="12.75" x14ac:dyDescent="0.2">
      <c r="A461" s="1"/>
      <c r="B461" s="1"/>
      <c r="C461" s="1"/>
      <c r="D461" s="1"/>
    </row>
    <row r="462" spans="1:4" ht="12.75" x14ac:dyDescent="0.2">
      <c r="A462" s="1"/>
      <c r="B462" s="1"/>
      <c r="C462" s="1"/>
      <c r="D462" s="1"/>
    </row>
    <row r="463" spans="1:4" ht="12.75" x14ac:dyDescent="0.2">
      <c r="A463" s="1"/>
      <c r="B463" s="1"/>
      <c r="C463" s="1"/>
      <c r="D463" s="1"/>
    </row>
    <row r="464" spans="1:4" ht="12.75" x14ac:dyDescent="0.2">
      <c r="A464" s="1"/>
      <c r="B464" s="1"/>
      <c r="C464" s="1"/>
      <c r="D464" s="1"/>
    </row>
    <row r="465" spans="1:4" ht="12.75" x14ac:dyDescent="0.2">
      <c r="A465" s="1"/>
      <c r="B465" s="1"/>
      <c r="C465" s="1"/>
      <c r="D465" s="1"/>
    </row>
    <row r="466" spans="1:4" ht="12.75" x14ac:dyDescent="0.2">
      <c r="A466" s="1"/>
      <c r="B466" s="1"/>
      <c r="C466" s="1"/>
      <c r="D466" s="1"/>
    </row>
    <row r="467" spans="1:4" ht="12.75" x14ac:dyDescent="0.2">
      <c r="A467" s="1"/>
      <c r="B467" s="1"/>
      <c r="C467" s="1"/>
      <c r="D467" s="1"/>
    </row>
    <row r="468" spans="1:4" ht="12.75" x14ac:dyDescent="0.2">
      <c r="A468" s="1"/>
      <c r="B468" s="1"/>
      <c r="C468" s="1"/>
      <c r="D468" s="1"/>
    </row>
    <row r="469" spans="1:4" ht="12.75" x14ac:dyDescent="0.2">
      <c r="A469" s="1"/>
      <c r="B469" s="1"/>
      <c r="C469" s="1"/>
      <c r="D469" s="1"/>
    </row>
    <row r="470" spans="1:4" ht="12.75" x14ac:dyDescent="0.2">
      <c r="A470" s="1"/>
      <c r="B470" s="1"/>
      <c r="C470" s="1"/>
      <c r="D470" s="1"/>
    </row>
    <row r="471" spans="1:4" ht="12.75" x14ac:dyDescent="0.2">
      <c r="A471" s="1"/>
      <c r="B471" s="1"/>
      <c r="C471" s="1"/>
      <c r="D471" s="1"/>
    </row>
    <row r="472" spans="1:4" ht="12.75" x14ac:dyDescent="0.2">
      <c r="A472" s="1"/>
      <c r="B472" s="1"/>
      <c r="C472" s="1"/>
      <c r="D472" s="1"/>
    </row>
    <row r="473" spans="1:4" ht="12.75" x14ac:dyDescent="0.2">
      <c r="A473" s="1"/>
      <c r="B473" s="1"/>
      <c r="C473" s="1"/>
      <c r="D473" s="1"/>
    </row>
    <row r="474" spans="1:4" ht="12.75" x14ac:dyDescent="0.2">
      <c r="A474" s="1"/>
      <c r="B474" s="1"/>
      <c r="C474" s="1"/>
      <c r="D474" s="1"/>
    </row>
    <row r="475" spans="1:4" ht="12.75" x14ac:dyDescent="0.2">
      <c r="A475" s="1"/>
      <c r="B475" s="1"/>
      <c r="C475" s="1"/>
      <c r="D475" s="1"/>
    </row>
    <row r="476" spans="1:4" ht="12.75" x14ac:dyDescent="0.2">
      <c r="A476" s="1"/>
      <c r="B476" s="1"/>
      <c r="C476" s="1"/>
      <c r="D476" s="1"/>
    </row>
    <row r="477" spans="1:4" ht="12.75" x14ac:dyDescent="0.2">
      <c r="A477" s="1"/>
      <c r="B477" s="1"/>
      <c r="C477" s="1"/>
      <c r="D477" s="1"/>
    </row>
    <row r="478" spans="1:4" ht="12.75" x14ac:dyDescent="0.2">
      <c r="A478" s="1"/>
      <c r="B478" s="1"/>
      <c r="C478" s="1"/>
      <c r="D478" s="1"/>
    </row>
    <row r="479" spans="1:4" ht="12.75" x14ac:dyDescent="0.2">
      <c r="A479" s="1"/>
      <c r="B479" s="1"/>
      <c r="C479" s="1"/>
      <c r="D479" s="1"/>
    </row>
    <row r="480" spans="1:4" ht="12.75" x14ac:dyDescent="0.2">
      <c r="A480" s="1"/>
      <c r="B480" s="1"/>
      <c r="C480" s="1"/>
      <c r="D480" s="1"/>
    </row>
    <row r="481" spans="1:4" ht="12.75" x14ac:dyDescent="0.2">
      <c r="A481" s="1"/>
      <c r="B481" s="1"/>
      <c r="C481" s="1"/>
      <c r="D481" s="1"/>
    </row>
    <row r="482" spans="1:4" ht="12.75" x14ac:dyDescent="0.2">
      <c r="A482" s="1"/>
      <c r="B482" s="1"/>
      <c r="C482" s="1"/>
      <c r="D482" s="1"/>
    </row>
    <row r="483" spans="1:4" ht="12.75" x14ac:dyDescent="0.2">
      <c r="A483" s="1"/>
      <c r="B483" s="1"/>
      <c r="C483" s="1"/>
      <c r="D483" s="1"/>
    </row>
    <row r="484" spans="1:4" ht="12.75" x14ac:dyDescent="0.2">
      <c r="A484" s="1"/>
      <c r="B484" s="1"/>
      <c r="C484" s="1"/>
      <c r="D484" s="1"/>
    </row>
    <row r="485" spans="1:4" ht="12.75" x14ac:dyDescent="0.2">
      <c r="A485" s="1"/>
      <c r="B485" s="1"/>
      <c r="C485" s="1"/>
      <c r="D485" s="1"/>
    </row>
    <row r="486" spans="1:4" ht="12.75" x14ac:dyDescent="0.2">
      <c r="A486" s="1"/>
      <c r="B486" s="1"/>
      <c r="C486" s="1"/>
      <c r="D486" s="1"/>
    </row>
    <row r="487" spans="1:4" ht="12.75" x14ac:dyDescent="0.2">
      <c r="A487" s="1"/>
      <c r="B487" s="1"/>
      <c r="C487" s="1"/>
      <c r="D487" s="1"/>
    </row>
    <row r="488" spans="1:4" ht="12.75" x14ac:dyDescent="0.2">
      <c r="A488" s="1"/>
      <c r="B488" s="1"/>
      <c r="C488" s="1"/>
      <c r="D488" s="1"/>
    </row>
    <row r="489" spans="1:4" ht="12.75" x14ac:dyDescent="0.2">
      <c r="A489" s="1"/>
      <c r="B489" s="1"/>
      <c r="C489" s="1"/>
      <c r="D489" s="1"/>
    </row>
    <row r="490" spans="1:4" ht="12.75" x14ac:dyDescent="0.2">
      <c r="A490" s="1"/>
      <c r="B490" s="1"/>
      <c r="C490" s="1"/>
      <c r="D490" s="1"/>
    </row>
    <row r="491" spans="1:4" ht="12.75" x14ac:dyDescent="0.2">
      <c r="A491" s="1"/>
      <c r="B491" s="1"/>
      <c r="C491" s="1"/>
      <c r="D491" s="1"/>
    </row>
    <row r="492" spans="1:4" ht="12.75" x14ac:dyDescent="0.2">
      <c r="A492" s="1"/>
      <c r="B492" s="1"/>
      <c r="C492" s="1"/>
      <c r="D492" s="1"/>
    </row>
    <row r="493" spans="1:4" ht="12.75" x14ac:dyDescent="0.2">
      <c r="A493" s="1"/>
      <c r="B493" s="1"/>
      <c r="C493" s="1"/>
      <c r="D493" s="1"/>
    </row>
    <row r="494" spans="1:4" ht="12.75" x14ac:dyDescent="0.2">
      <c r="A494" s="1"/>
      <c r="B494" s="1"/>
      <c r="C494" s="1"/>
      <c r="D494" s="1"/>
    </row>
    <row r="495" spans="1:4" ht="12.75" x14ac:dyDescent="0.2">
      <c r="A495" s="1"/>
      <c r="B495" s="1"/>
      <c r="C495" s="1"/>
      <c r="D495" s="1"/>
    </row>
    <row r="496" spans="1:4" ht="12.75" x14ac:dyDescent="0.2">
      <c r="A496" s="1"/>
      <c r="B496" s="1"/>
      <c r="C496" s="1"/>
      <c r="D496" s="1"/>
    </row>
    <row r="497" spans="1:4" ht="12.75" x14ac:dyDescent="0.2">
      <c r="A497" s="1"/>
      <c r="B497" s="1"/>
      <c r="C497" s="1"/>
      <c r="D497" s="1"/>
    </row>
    <row r="498" spans="1:4" ht="12.75" x14ac:dyDescent="0.2">
      <c r="A498" s="1"/>
      <c r="B498" s="1"/>
      <c r="C498" s="1"/>
      <c r="D498" s="1"/>
    </row>
    <row r="499" spans="1:4" ht="12.75" x14ac:dyDescent="0.2">
      <c r="A499" s="1"/>
      <c r="B499" s="1"/>
      <c r="C499" s="1"/>
      <c r="D499" s="1"/>
    </row>
    <row r="500" spans="1:4" ht="12.75" x14ac:dyDescent="0.2">
      <c r="A500" s="1"/>
      <c r="B500" s="1"/>
      <c r="C500" s="1"/>
      <c r="D500" s="1"/>
    </row>
    <row r="501" spans="1:4" ht="12.75" x14ac:dyDescent="0.2">
      <c r="A501" s="1"/>
      <c r="B501" s="1"/>
      <c r="C501" s="1"/>
      <c r="D501" s="1"/>
    </row>
    <row r="502" spans="1:4" ht="12.75" x14ac:dyDescent="0.2">
      <c r="A502" s="1"/>
      <c r="B502" s="1"/>
      <c r="C502" s="1"/>
      <c r="D502" s="1"/>
    </row>
    <row r="503" spans="1:4" ht="12.75" x14ac:dyDescent="0.2">
      <c r="A503" s="1"/>
      <c r="B503" s="1"/>
      <c r="C503" s="1"/>
      <c r="D503" s="1"/>
    </row>
    <row r="504" spans="1:4" ht="12.75" x14ac:dyDescent="0.2">
      <c r="A504" s="1"/>
      <c r="B504" s="1"/>
      <c r="C504" s="1"/>
      <c r="D504" s="1"/>
    </row>
    <row r="505" spans="1:4" ht="12.75" x14ac:dyDescent="0.2">
      <c r="A505" s="1"/>
      <c r="B505" s="1"/>
      <c r="C505" s="1"/>
      <c r="D505" s="1"/>
    </row>
    <row r="506" spans="1:4" ht="12.75" x14ac:dyDescent="0.2">
      <c r="A506" s="1"/>
      <c r="B506" s="1"/>
      <c r="C506" s="1"/>
      <c r="D506" s="1"/>
    </row>
    <row r="507" spans="1:4" ht="12.75" x14ac:dyDescent="0.2">
      <c r="A507" s="1"/>
      <c r="B507" s="1"/>
      <c r="C507" s="1"/>
      <c r="D507" s="1"/>
    </row>
    <row r="508" spans="1:4" ht="12.75" x14ac:dyDescent="0.2">
      <c r="A508" s="1"/>
      <c r="B508" s="1"/>
      <c r="C508" s="1"/>
      <c r="D508" s="1"/>
    </row>
    <row r="509" spans="1:4" ht="12.75" x14ac:dyDescent="0.2">
      <c r="A509" s="1"/>
      <c r="B509" s="1"/>
      <c r="C509" s="1"/>
      <c r="D509" s="1"/>
    </row>
    <row r="510" spans="1:4" ht="12.75" x14ac:dyDescent="0.2">
      <c r="A510" s="1"/>
      <c r="B510" s="1"/>
      <c r="C510" s="1"/>
      <c r="D510" s="1"/>
    </row>
    <row r="511" spans="1:4" ht="12.75" x14ac:dyDescent="0.2">
      <c r="A511" s="1"/>
      <c r="B511" s="1"/>
      <c r="C511" s="1"/>
      <c r="D511" s="1"/>
    </row>
    <row r="512" spans="1:4" ht="12.75" x14ac:dyDescent="0.2">
      <c r="A512" s="1"/>
      <c r="B512" s="1"/>
      <c r="C512" s="1"/>
      <c r="D512" s="1"/>
    </row>
    <row r="513" spans="1:4" ht="12.75" x14ac:dyDescent="0.2">
      <c r="A513" s="1"/>
      <c r="B513" s="1"/>
      <c r="C513" s="1"/>
      <c r="D513" s="1"/>
    </row>
    <row r="514" spans="1:4" ht="12.75" x14ac:dyDescent="0.2">
      <c r="A514" s="1"/>
      <c r="B514" s="1"/>
      <c r="C514" s="1"/>
      <c r="D514" s="1"/>
    </row>
    <row r="515" spans="1:4" ht="12.75" x14ac:dyDescent="0.2">
      <c r="A515" s="1"/>
      <c r="B515" s="1"/>
      <c r="C515" s="1"/>
      <c r="D515" s="1"/>
    </row>
    <row r="516" spans="1:4" ht="12.75" x14ac:dyDescent="0.2">
      <c r="A516" s="1"/>
      <c r="B516" s="1"/>
      <c r="C516" s="1"/>
      <c r="D516" s="1"/>
    </row>
    <row r="517" spans="1:4" ht="12.75" x14ac:dyDescent="0.2">
      <c r="A517" s="1"/>
      <c r="B517" s="1"/>
      <c r="C517" s="1"/>
      <c r="D517" s="1"/>
    </row>
    <row r="518" spans="1:4" ht="12.75" x14ac:dyDescent="0.2">
      <c r="A518" s="1"/>
      <c r="B518" s="1"/>
      <c r="C518" s="1"/>
      <c r="D518" s="1"/>
    </row>
    <row r="519" spans="1:4" ht="12.75" x14ac:dyDescent="0.2">
      <c r="A519" s="1"/>
      <c r="B519" s="1"/>
      <c r="C519" s="1"/>
      <c r="D519" s="1"/>
    </row>
    <row r="520" spans="1:4" ht="12.75" x14ac:dyDescent="0.2">
      <c r="A520" s="1"/>
      <c r="B520" s="1"/>
      <c r="C520" s="1"/>
      <c r="D520" s="1"/>
    </row>
    <row r="521" spans="1:4" ht="12.75" x14ac:dyDescent="0.2">
      <c r="A521" s="1"/>
      <c r="B521" s="1"/>
      <c r="C521" s="1"/>
      <c r="D521" s="1"/>
    </row>
    <row r="522" spans="1:4" ht="12.75" x14ac:dyDescent="0.2">
      <c r="A522" s="1"/>
      <c r="B522" s="1"/>
      <c r="C522" s="1"/>
      <c r="D522" s="1"/>
    </row>
    <row r="523" spans="1:4" ht="12.75" x14ac:dyDescent="0.2">
      <c r="A523" s="1"/>
      <c r="B523" s="1"/>
      <c r="C523" s="1"/>
      <c r="D523" s="1"/>
    </row>
    <row r="524" spans="1:4" ht="12.75" x14ac:dyDescent="0.2">
      <c r="A524" s="1"/>
      <c r="B524" s="1"/>
      <c r="C524" s="1"/>
      <c r="D524" s="1"/>
    </row>
    <row r="525" spans="1:4" ht="12.75" x14ac:dyDescent="0.2">
      <c r="A525" s="1"/>
      <c r="B525" s="1"/>
      <c r="C525" s="1"/>
      <c r="D525" s="1"/>
    </row>
    <row r="526" spans="1:4" ht="12.75" x14ac:dyDescent="0.2">
      <c r="A526" s="1"/>
      <c r="B526" s="1"/>
      <c r="C526" s="1"/>
      <c r="D526" s="1"/>
    </row>
    <row r="527" spans="1:4" ht="12.75" x14ac:dyDescent="0.2">
      <c r="A527" s="1"/>
      <c r="B527" s="1"/>
      <c r="C527" s="1"/>
      <c r="D527" s="1"/>
    </row>
    <row r="528" spans="1:4" ht="12.75" x14ac:dyDescent="0.2">
      <c r="A528" s="1"/>
      <c r="B528" s="1"/>
      <c r="C528" s="1"/>
      <c r="D528" s="1"/>
    </row>
    <row r="529" spans="1:4" ht="12.75" x14ac:dyDescent="0.2">
      <c r="A529" s="1"/>
      <c r="B529" s="1"/>
      <c r="C529" s="1"/>
      <c r="D529" s="1"/>
    </row>
    <row r="530" spans="1:4" ht="12.75" x14ac:dyDescent="0.2">
      <c r="A530" s="1"/>
      <c r="B530" s="1"/>
      <c r="C530" s="1"/>
      <c r="D530" s="1"/>
    </row>
    <row r="531" spans="1:4" ht="12.75" x14ac:dyDescent="0.2">
      <c r="A531" s="1"/>
      <c r="B531" s="1"/>
      <c r="C531" s="1"/>
      <c r="D531" s="1"/>
    </row>
    <row r="532" spans="1:4" ht="12.75" x14ac:dyDescent="0.2">
      <c r="A532" s="1"/>
      <c r="B532" s="1"/>
      <c r="C532" s="1"/>
      <c r="D532" s="1"/>
    </row>
    <row r="533" spans="1:4" ht="12.75" x14ac:dyDescent="0.2">
      <c r="A533" s="1"/>
      <c r="B533" s="1"/>
      <c r="C533" s="1"/>
      <c r="D533" s="1"/>
    </row>
    <row r="534" spans="1:4" ht="12.75" x14ac:dyDescent="0.2">
      <c r="A534" s="1"/>
      <c r="B534" s="1"/>
      <c r="C534" s="1"/>
      <c r="D534" s="1"/>
    </row>
    <row r="535" spans="1:4" ht="12.75" x14ac:dyDescent="0.2">
      <c r="A535" s="1"/>
      <c r="B535" s="1"/>
      <c r="C535" s="1"/>
      <c r="D535" s="1"/>
    </row>
    <row r="536" spans="1:4" ht="12.75" x14ac:dyDescent="0.2">
      <c r="A536" s="1"/>
      <c r="B536" s="1"/>
      <c r="C536" s="1"/>
      <c r="D536" s="1"/>
    </row>
    <row r="537" spans="1:4" ht="12.75" x14ac:dyDescent="0.2">
      <c r="A537" s="1"/>
      <c r="B537" s="1"/>
      <c r="C537" s="1"/>
      <c r="D537" s="1"/>
    </row>
    <row r="538" spans="1:4" ht="12.75" x14ac:dyDescent="0.2">
      <c r="A538" s="1"/>
      <c r="B538" s="1"/>
      <c r="C538" s="1"/>
      <c r="D538" s="1"/>
    </row>
    <row r="539" spans="1:4" ht="12.75" x14ac:dyDescent="0.2">
      <c r="A539" s="1"/>
      <c r="B539" s="1"/>
      <c r="C539" s="1"/>
      <c r="D539" s="1"/>
    </row>
    <row r="540" spans="1:4" ht="12.75" x14ac:dyDescent="0.2">
      <c r="A540" s="1"/>
      <c r="B540" s="1"/>
      <c r="C540" s="1"/>
      <c r="D540" s="1"/>
    </row>
    <row r="541" spans="1:4" ht="12.75" x14ac:dyDescent="0.2">
      <c r="A541" s="1"/>
      <c r="B541" s="1"/>
      <c r="C541" s="1"/>
      <c r="D541" s="1"/>
    </row>
    <row r="542" spans="1:4" ht="12.75" x14ac:dyDescent="0.2">
      <c r="A542" s="1"/>
      <c r="B542" s="1"/>
      <c r="C542" s="1"/>
      <c r="D542" s="1"/>
    </row>
    <row r="543" spans="1:4" ht="12.75" x14ac:dyDescent="0.2">
      <c r="A543" s="1"/>
      <c r="B543" s="1"/>
      <c r="C543" s="1"/>
      <c r="D543" s="1"/>
    </row>
    <row r="544" spans="1:4" ht="12.75" x14ac:dyDescent="0.2">
      <c r="A544" s="1"/>
      <c r="B544" s="1"/>
      <c r="C544" s="1"/>
      <c r="D544" s="1"/>
    </row>
    <row r="545" spans="1:4" ht="12.75" x14ac:dyDescent="0.2">
      <c r="A545" s="1"/>
      <c r="B545" s="1"/>
      <c r="C545" s="1"/>
      <c r="D545" s="1"/>
    </row>
    <row r="546" spans="1:4" ht="12.75" x14ac:dyDescent="0.2">
      <c r="A546" s="1"/>
      <c r="B546" s="1"/>
      <c r="C546" s="1"/>
      <c r="D546" s="1"/>
    </row>
    <row r="547" spans="1:4" ht="12.75" x14ac:dyDescent="0.2">
      <c r="A547" s="1"/>
      <c r="B547" s="1"/>
      <c r="C547" s="1"/>
      <c r="D547" s="1"/>
    </row>
    <row r="548" spans="1:4" ht="12.75" x14ac:dyDescent="0.2">
      <c r="A548" s="1"/>
      <c r="B548" s="1"/>
      <c r="C548" s="1"/>
      <c r="D548" s="1"/>
    </row>
    <row r="549" spans="1:4" ht="12.75" x14ac:dyDescent="0.2">
      <c r="A549" s="1"/>
      <c r="B549" s="1"/>
      <c r="C549" s="1"/>
      <c r="D549" s="1"/>
    </row>
    <row r="550" spans="1:4" ht="12.75" x14ac:dyDescent="0.2">
      <c r="A550" s="1"/>
      <c r="B550" s="1"/>
      <c r="C550" s="1"/>
      <c r="D550" s="1"/>
    </row>
    <row r="551" spans="1:4" ht="12.75" x14ac:dyDescent="0.2">
      <c r="A551" s="1"/>
      <c r="B551" s="1"/>
      <c r="C551" s="1"/>
      <c r="D551" s="1"/>
    </row>
    <row r="552" spans="1:4" ht="12.75" x14ac:dyDescent="0.2">
      <c r="A552" s="1"/>
      <c r="B552" s="1"/>
      <c r="C552" s="1"/>
      <c r="D552" s="1"/>
    </row>
    <row r="553" spans="1:4" ht="12.75" x14ac:dyDescent="0.2">
      <c r="A553" s="1"/>
      <c r="B553" s="1"/>
      <c r="C553" s="1"/>
      <c r="D553" s="1"/>
    </row>
    <row r="554" spans="1:4" ht="12.75" x14ac:dyDescent="0.2">
      <c r="A554" s="1"/>
      <c r="B554" s="1"/>
      <c r="C554" s="1"/>
      <c r="D554" s="1"/>
    </row>
    <row r="555" spans="1:4" ht="12.75" x14ac:dyDescent="0.2">
      <c r="A555" s="1"/>
      <c r="B555" s="1"/>
      <c r="C555" s="1"/>
      <c r="D555" s="1"/>
    </row>
    <row r="556" spans="1:4" ht="12.75" x14ac:dyDescent="0.2">
      <c r="A556" s="1"/>
      <c r="B556" s="1"/>
      <c r="C556" s="1"/>
      <c r="D556" s="1"/>
    </row>
    <row r="557" spans="1:4" ht="12.75" x14ac:dyDescent="0.2">
      <c r="A557" s="1"/>
      <c r="B557" s="1"/>
      <c r="C557" s="1"/>
      <c r="D557" s="1"/>
    </row>
    <row r="558" spans="1:4" ht="12.75" x14ac:dyDescent="0.2">
      <c r="A558" s="1"/>
      <c r="B558" s="1"/>
      <c r="C558" s="1"/>
      <c r="D558" s="1"/>
    </row>
    <row r="559" spans="1:4" ht="12.75" x14ac:dyDescent="0.2">
      <c r="A559" s="1"/>
      <c r="B559" s="1"/>
      <c r="C559" s="1"/>
      <c r="D559" s="1"/>
    </row>
    <row r="560" spans="1:4" ht="12.75" x14ac:dyDescent="0.2">
      <c r="A560" s="1"/>
      <c r="B560" s="1"/>
      <c r="C560" s="1"/>
      <c r="D560" s="1"/>
    </row>
    <row r="561" spans="1:4" ht="12.75" x14ac:dyDescent="0.2">
      <c r="A561" s="1"/>
      <c r="B561" s="1"/>
      <c r="C561" s="1"/>
      <c r="D561" s="1"/>
    </row>
    <row r="562" spans="1:4" ht="12.75" x14ac:dyDescent="0.2">
      <c r="A562" s="1"/>
      <c r="B562" s="1"/>
      <c r="C562" s="1"/>
      <c r="D562" s="1"/>
    </row>
    <row r="563" spans="1:4" ht="12.75" x14ac:dyDescent="0.2">
      <c r="A563" s="1"/>
      <c r="B563" s="1"/>
      <c r="C563" s="1"/>
      <c r="D563" s="1"/>
    </row>
    <row r="564" spans="1:4" ht="12.75" x14ac:dyDescent="0.2">
      <c r="A564" s="1"/>
      <c r="B564" s="1"/>
      <c r="C564" s="1"/>
      <c r="D564" s="1"/>
    </row>
    <row r="565" spans="1:4" ht="12.75" x14ac:dyDescent="0.2">
      <c r="A565" s="1"/>
      <c r="B565" s="1"/>
      <c r="C565" s="1"/>
      <c r="D565" s="1"/>
    </row>
    <row r="566" spans="1:4" ht="12.75" x14ac:dyDescent="0.2">
      <c r="A566" s="1"/>
      <c r="B566" s="1"/>
      <c r="C566" s="1"/>
      <c r="D566" s="1"/>
    </row>
    <row r="567" spans="1:4" ht="12.75" x14ac:dyDescent="0.2">
      <c r="A567" s="1"/>
      <c r="B567" s="1"/>
      <c r="C567" s="1"/>
      <c r="D567" s="1"/>
    </row>
    <row r="568" spans="1:4" ht="12.75" x14ac:dyDescent="0.2">
      <c r="A568" s="1"/>
      <c r="B568" s="1"/>
      <c r="C568" s="1"/>
      <c r="D568" s="1"/>
    </row>
    <row r="569" spans="1:4" ht="12.75" x14ac:dyDescent="0.2">
      <c r="A569" s="1"/>
      <c r="B569" s="1"/>
      <c r="C569" s="1"/>
      <c r="D569" s="1"/>
    </row>
    <row r="570" spans="1:4" ht="12.75" x14ac:dyDescent="0.2">
      <c r="A570" s="1"/>
      <c r="B570" s="1"/>
      <c r="C570" s="1"/>
      <c r="D570" s="1"/>
    </row>
    <row r="571" spans="1:4" ht="12.75" x14ac:dyDescent="0.2">
      <c r="A571" s="1"/>
      <c r="B571" s="1"/>
      <c r="C571" s="1"/>
      <c r="D571" s="1"/>
    </row>
    <row r="572" spans="1:4" ht="12.75" x14ac:dyDescent="0.2">
      <c r="A572" s="1"/>
      <c r="B572" s="1"/>
      <c r="C572" s="1"/>
      <c r="D572" s="1"/>
    </row>
    <row r="573" spans="1:4" ht="12.75" x14ac:dyDescent="0.2">
      <c r="A573" s="1"/>
      <c r="B573" s="1"/>
      <c r="C573" s="1"/>
      <c r="D573" s="1"/>
    </row>
    <row r="574" spans="1:4" ht="12.75" x14ac:dyDescent="0.2">
      <c r="A574" s="1"/>
      <c r="B574" s="1"/>
      <c r="C574" s="1"/>
      <c r="D574" s="1"/>
    </row>
    <row r="575" spans="1:4" ht="12.75" x14ac:dyDescent="0.2">
      <c r="A575" s="1"/>
      <c r="B575" s="1"/>
      <c r="C575" s="1"/>
      <c r="D575" s="1"/>
    </row>
    <row r="576" spans="1:4" ht="12.75" x14ac:dyDescent="0.2">
      <c r="A576" s="1"/>
      <c r="B576" s="1"/>
      <c r="C576" s="1"/>
      <c r="D576" s="1"/>
    </row>
    <row r="577" spans="1:4" ht="12.75" x14ac:dyDescent="0.2">
      <c r="A577" s="1"/>
      <c r="B577" s="1"/>
      <c r="C577" s="1"/>
      <c r="D577" s="1"/>
    </row>
    <row r="578" spans="1:4" ht="12.75" x14ac:dyDescent="0.2">
      <c r="A578" s="1"/>
      <c r="B578" s="1"/>
      <c r="C578" s="1"/>
      <c r="D578" s="1"/>
    </row>
    <row r="579" spans="1:4" ht="12.75" x14ac:dyDescent="0.2">
      <c r="A579" s="1"/>
      <c r="B579" s="1"/>
      <c r="C579" s="1"/>
      <c r="D579" s="1"/>
    </row>
    <row r="580" spans="1:4" ht="12.75" x14ac:dyDescent="0.2">
      <c r="A580" s="1"/>
      <c r="B580" s="1"/>
      <c r="C580" s="1"/>
      <c r="D580" s="1"/>
    </row>
    <row r="581" spans="1:4" ht="12.75" x14ac:dyDescent="0.2">
      <c r="A581" s="1"/>
      <c r="B581" s="1"/>
      <c r="C581" s="1"/>
      <c r="D581" s="1"/>
    </row>
    <row r="582" spans="1:4" ht="12.75" x14ac:dyDescent="0.2">
      <c r="A582" s="1"/>
      <c r="B582" s="1"/>
      <c r="C582" s="1"/>
      <c r="D582" s="1"/>
    </row>
    <row r="583" spans="1:4" ht="12.75" x14ac:dyDescent="0.2">
      <c r="A583" s="1"/>
      <c r="B583" s="1"/>
      <c r="C583" s="1"/>
      <c r="D583" s="1"/>
    </row>
    <row r="584" spans="1:4" ht="12.75" x14ac:dyDescent="0.2">
      <c r="A584" s="1"/>
      <c r="B584" s="1"/>
      <c r="C584" s="1"/>
      <c r="D584" s="1"/>
    </row>
    <row r="585" spans="1:4" ht="12.75" x14ac:dyDescent="0.2">
      <c r="A585" s="1"/>
      <c r="B585" s="1"/>
      <c r="C585" s="1"/>
      <c r="D585" s="1"/>
    </row>
    <row r="586" spans="1:4" ht="12.75" x14ac:dyDescent="0.2">
      <c r="A586" s="1"/>
      <c r="B586" s="1"/>
      <c r="C586" s="1"/>
      <c r="D586" s="1"/>
    </row>
    <row r="587" spans="1:4" ht="12.75" x14ac:dyDescent="0.2">
      <c r="A587" s="1"/>
      <c r="B587" s="1"/>
      <c r="C587" s="1"/>
      <c r="D587" s="1"/>
    </row>
    <row r="588" spans="1:4" ht="12.75" x14ac:dyDescent="0.2">
      <c r="A588" s="1"/>
      <c r="B588" s="1"/>
      <c r="C588" s="1"/>
      <c r="D588" s="1"/>
    </row>
    <row r="589" spans="1:4" ht="12.75" x14ac:dyDescent="0.2">
      <c r="A589" s="1"/>
      <c r="B589" s="1"/>
      <c r="C589" s="1"/>
      <c r="D589" s="1"/>
    </row>
    <row r="590" spans="1:4" ht="12.75" x14ac:dyDescent="0.2">
      <c r="A590" s="1"/>
      <c r="B590" s="1"/>
      <c r="C590" s="1"/>
      <c r="D590" s="1"/>
    </row>
    <row r="591" spans="1:4" ht="12.75" x14ac:dyDescent="0.2">
      <c r="A591" s="1"/>
      <c r="B591" s="1"/>
      <c r="C591" s="1"/>
      <c r="D591" s="1"/>
    </row>
    <row r="592" spans="1:4" ht="12.75" x14ac:dyDescent="0.2">
      <c r="A592" s="1"/>
      <c r="B592" s="1"/>
      <c r="C592" s="1"/>
      <c r="D592" s="1"/>
    </row>
    <row r="593" spans="1:4" ht="12.75" x14ac:dyDescent="0.2">
      <c r="A593" s="1"/>
      <c r="B593" s="1"/>
      <c r="C593" s="1"/>
      <c r="D593" s="1"/>
    </row>
    <row r="594" spans="1:4" ht="12.75" x14ac:dyDescent="0.2">
      <c r="A594" s="1"/>
      <c r="B594" s="1"/>
      <c r="C594" s="1"/>
      <c r="D594" s="1"/>
    </row>
    <row r="595" spans="1:4" ht="12.75" x14ac:dyDescent="0.2">
      <c r="A595" s="1"/>
      <c r="B595" s="1"/>
      <c r="C595" s="1"/>
      <c r="D595" s="1"/>
    </row>
    <row r="596" spans="1:4" ht="12.75" x14ac:dyDescent="0.2">
      <c r="A596" s="1"/>
      <c r="B596" s="1"/>
      <c r="C596" s="1"/>
      <c r="D596" s="1"/>
    </row>
    <row r="597" spans="1:4" ht="12.75" x14ac:dyDescent="0.2">
      <c r="A597" s="1"/>
      <c r="B597" s="1"/>
      <c r="C597" s="1"/>
      <c r="D597" s="1"/>
    </row>
    <row r="598" spans="1:4" ht="12.75" x14ac:dyDescent="0.2">
      <c r="A598" s="1"/>
      <c r="B598" s="1"/>
      <c r="C598" s="1"/>
      <c r="D598" s="1"/>
    </row>
    <row r="599" spans="1:4" ht="12.75" x14ac:dyDescent="0.2">
      <c r="A599" s="1"/>
      <c r="B599" s="1"/>
      <c r="C599" s="1"/>
      <c r="D599" s="1"/>
    </row>
    <row r="600" spans="1:4" ht="12.75" x14ac:dyDescent="0.2">
      <c r="A600" s="1"/>
      <c r="B600" s="1"/>
      <c r="C600" s="1"/>
      <c r="D600" s="1"/>
    </row>
    <row r="601" spans="1:4" ht="12.75" x14ac:dyDescent="0.2">
      <c r="A601" s="1"/>
      <c r="B601" s="1"/>
      <c r="C601" s="1"/>
      <c r="D601" s="1"/>
    </row>
    <row r="602" spans="1:4" ht="12.75" x14ac:dyDescent="0.2">
      <c r="A602" s="1"/>
      <c r="B602" s="1"/>
      <c r="C602" s="1"/>
      <c r="D602" s="1"/>
    </row>
    <row r="603" spans="1:4" ht="12.75" x14ac:dyDescent="0.2">
      <c r="A603" s="1"/>
      <c r="B603" s="1"/>
      <c r="C603" s="1"/>
      <c r="D603" s="1"/>
    </row>
    <row r="604" spans="1:4" ht="12.75" x14ac:dyDescent="0.2">
      <c r="A604" s="1"/>
      <c r="B604" s="1"/>
      <c r="C604" s="1"/>
      <c r="D604" s="1"/>
    </row>
    <row r="605" spans="1:4" ht="12.75" x14ac:dyDescent="0.2">
      <c r="A605" s="1"/>
      <c r="B605" s="1"/>
      <c r="C605" s="1"/>
      <c r="D605" s="1"/>
    </row>
    <row r="606" spans="1:4" ht="12.75" x14ac:dyDescent="0.2">
      <c r="A606" s="1"/>
      <c r="B606" s="1"/>
      <c r="C606" s="1"/>
      <c r="D606" s="1"/>
    </row>
    <row r="607" spans="1:4" ht="12.75" x14ac:dyDescent="0.2">
      <c r="A607" s="1"/>
      <c r="B607" s="1"/>
      <c r="C607" s="1"/>
      <c r="D607" s="1"/>
    </row>
    <row r="608" spans="1:4" ht="12.75" x14ac:dyDescent="0.2">
      <c r="A608" s="1"/>
      <c r="B608" s="1"/>
      <c r="C608" s="1"/>
      <c r="D608" s="1"/>
    </row>
    <row r="609" spans="1:4" ht="12.75" x14ac:dyDescent="0.2">
      <c r="A609" s="1"/>
      <c r="B609" s="1"/>
      <c r="C609" s="1"/>
      <c r="D609" s="1"/>
    </row>
    <row r="610" spans="1:4" ht="12.75" x14ac:dyDescent="0.2">
      <c r="A610" s="1"/>
      <c r="B610" s="1"/>
      <c r="C610" s="1"/>
      <c r="D610" s="1"/>
    </row>
    <row r="611" spans="1:4" ht="12.75" x14ac:dyDescent="0.2">
      <c r="A611" s="1"/>
      <c r="B611" s="1"/>
      <c r="C611" s="1"/>
      <c r="D611" s="1"/>
    </row>
    <row r="612" spans="1:4" ht="12.75" x14ac:dyDescent="0.2">
      <c r="A612" s="1"/>
      <c r="B612" s="1"/>
      <c r="C612" s="1"/>
      <c r="D612" s="1"/>
    </row>
    <row r="613" spans="1:4" ht="12.75" x14ac:dyDescent="0.2">
      <c r="A613" s="1"/>
      <c r="B613" s="1"/>
      <c r="C613" s="1"/>
      <c r="D613" s="1"/>
    </row>
    <row r="614" spans="1:4" ht="12.75" x14ac:dyDescent="0.2">
      <c r="A614" s="1"/>
      <c r="B614" s="1"/>
      <c r="C614" s="1"/>
      <c r="D614" s="1"/>
    </row>
    <row r="615" spans="1:4" ht="12.75" x14ac:dyDescent="0.2">
      <c r="A615" s="1"/>
      <c r="B615" s="1"/>
      <c r="C615" s="1"/>
      <c r="D615" s="1"/>
    </row>
    <row r="616" spans="1:4" ht="12.75" x14ac:dyDescent="0.2">
      <c r="A616" s="1"/>
      <c r="B616" s="1"/>
      <c r="C616" s="1"/>
      <c r="D616" s="1"/>
    </row>
    <row r="617" spans="1:4" ht="12.75" x14ac:dyDescent="0.2">
      <c r="A617" s="1"/>
      <c r="B617" s="1"/>
      <c r="C617" s="1"/>
      <c r="D617" s="1"/>
    </row>
    <row r="618" spans="1:4" ht="12.75" x14ac:dyDescent="0.2">
      <c r="A618" s="1"/>
      <c r="B618" s="1"/>
      <c r="C618" s="1"/>
      <c r="D618" s="1"/>
    </row>
    <row r="619" spans="1:4" ht="12.75" x14ac:dyDescent="0.2">
      <c r="A619" s="1"/>
      <c r="B619" s="1"/>
      <c r="C619" s="1"/>
      <c r="D619" s="1"/>
    </row>
    <row r="620" spans="1:4" ht="12.75" x14ac:dyDescent="0.2">
      <c r="A620" s="1"/>
      <c r="B620" s="1"/>
      <c r="C620" s="1"/>
      <c r="D620" s="1"/>
    </row>
    <row r="621" spans="1:4" ht="12.75" x14ac:dyDescent="0.2">
      <c r="A621" s="1"/>
      <c r="B621" s="1"/>
      <c r="C621" s="1"/>
      <c r="D621" s="1"/>
    </row>
    <row r="622" spans="1:4" ht="12.75" x14ac:dyDescent="0.2">
      <c r="A622" s="1"/>
      <c r="B622" s="1"/>
      <c r="C622" s="1"/>
      <c r="D622" s="1"/>
    </row>
    <row r="623" spans="1:4" ht="12.75" x14ac:dyDescent="0.2">
      <c r="A623" s="1"/>
      <c r="B623" s="1"/>
      <c r="C623" s="1"/>
      <c r="D623" s="1"/>
    </row>
    <row r="624" spans="1:4" ht="12.75" x14ac:dyDescent="0.2">
      <c r="A624" s="1"/>
      <c r="B624" s="1"/>
      <c r="C624" s="1"/>
      <c r="D624" s="1"/>
    </row>
    <row r="625" spans="1:4" ht="12.75" x14ac:dyDescent="0.2">
      <c r="A625" s="1"/>
      <c r="B625" s="1"/>
      <c r="C625" s="1"/>
      <c r="D625" s="1"/>
    </row>
    <row r="626" spans="1:4" ht="12.75" x14ac:dyDescent="0.2">
      <c r="A626" s="1"/>
      <c r="B626" s="1"/>
      <c r="C626" s="1"/>
      <c r="D626" s="1"/>
    </row>
    <row r="627" spans="1:4" ht="12.75" x14ac:dyDescent="0.2">
      <c r="A627" s="1"/>
      <c r="B627" s="1"/>
      <c r="C627" s="1"/>
      <c r="D627" s="1"/>
    </row>
    <row r="628" spans="1:4" ht="12.75" x14ac:dyDescent="0.2">
      <c r="A628" s="1"/>
      <c r="B628" s="1"/>
      <c r="C628" s="1"/>
      <c r="D628" s="1"/>
    </row>
    <row r="629" spans="1:4" ht="12.75" x14ac:dyDescent="0.2">
      <c r="A629" s="1"/>
      <c r="B629" s="1"/>
      <c r="C629" s="1"/>
      <c r="D629" s="1"/>
    </row>
    <row r="630" spans="1:4" ht="12.75" x14ac:dyDescent="0.2">
      <c r="A630" s="1"/>
      <c r="B630" s="1"/>
      <c r="C630" s="1"/>
      <c r="D630" s="1"/>
    </row>
    <row r="631" spans="1:4" ht="12.75" x14ac:dyDescent="0.2">
      <c r="A631" s="1"/>
      <c r="B631" s="1"/>
      <c r="C631" s="1"/>
      <c r="D631" s="1"/>
    </row>
    <row r="632" spans="1:4" ht="12.75" x14ac:dyDescent="0.2">
      <c r="A632" s="1"/>
      <c r="B632" s="1"/>
      <c r="C632" s="1"/>
      <c r="D632" s="1"/>
    </row>
    <row r="633" spans="1:4" ht="12.75" x14ac:dyDescent="0.2">
      <c r="A633" s="1"/>
      <c r="B633" s="1"/>
      <c r="C633" s="1"/>
      <c r="D633" s="1"/>
    </row>
    <row r="634" spans="1:4" ht="12.75" x14ac:dyDescent="0.2">
      <c r="A634" s="1"/>
      <c r="B634" s="1"/>
      <c r="C634" s="1"/>
      <c r="D634" s="1"/>
    </row>
    <row r="635" spans="1:4" ht="12.75" x14ac:dyDescent="0.2">
      <c r="A635" s="1"/>
      <c r="B635" s="1"/>
      <c r="C635" s="1"/>
      <c r="D635" s="1"/>
    </row>
    <row r="636" spans="1:4" ht="12.75" x14ac:dyDescent="0.2">
      <c r="A636" s="1"/>
      <c r="B636" s="1"/>
      <c r="C636" s="1"/>
      <c r="D636" s="1"/>
    </row>
    <row r="637" spans="1:4" ht="12.75" x14ac:dyDescent="0.2">
      <c r="A637" s="1"/>
      <c r="B637" s="1"/>
      <c r="C637" s="1"/>
      <c r="D637" s="1"/>
    </row>
    <row r="638" spans="1:4" ht="12.75" x14ac:dyDescent="0.2">
      <c r="A638" s="1"/>
      <c r="B638" s="1"/>
      <c r="C638" s="1"/>
      <c r="D638" s="1"/>
    </row>
    <row r="639" spans="1:4" ht="12.75" x14ac:dyDescent="0.2">
      <c r="A639" s="1"/>
      <c r="B639" s="1"/>
      <c r="C639" s="1"/>
      <c r="D639" s="1"/>
    </row>
    <row r="640" spans="1:4" ht="12.75" x14ac:dyDescent="0.2">
      <c r="A640" s="1"/>
      <c r="B640" s="1"/>
      <c r="C640" s="1"/>
      <c r="D640" s="1"/>
    </row>
    <row r="641" spans="1:4" ht="12.75" x14ac:dyDescent="0.2">
      <c r="A641" s="1"/>
      <c r="B641" s="1"/>
      <c r="C641" s="1"/>
      <c r="D641" s="1"/>
    </row>
    <row r="642" spans="1:4" ht="12.75" x14ac:dyDescent="0.2">
      <c r="A642" s="1"/>
      <c r="B642" s="1"/>
      <c r="C642" s="1"/>
      <c r="D642" s="1"/>
    </row>
    <row r="643" spans="1:4" ht="12.75" x14ac:dyDescent="0.2">
      <c r="A643" s="1"/>
      <c r="B643" s="1"/>
      <c r="C643" s="1"/>
      <c r="D643" s="1"/>
    </row>
    <row r="644" spans="1:4" ht="12.75" x14ac:dyDescent="0.2">
      <c r="A644" s="1"/>
      <c r="B644" s="1"/>
      <c r="C644" s="1"/>
      <c r="D644" s="1"/>
    </row>
    <row r="645" spans="1:4" ht="12.75" x14ac:dyDescent="0.2">
      <c r="A645" s="1"/>
      <c r="B645" s="1"/>
      <c r="C645" s="1"/>
      <c r="D645" s="1"/>
    </row>
    <row r="646" spans="1:4" ht="12.75" x14ac:dyDescent="0.2">
      <c r="A646" s="1"/>
      <c r="B646" s="1"/>
      <c r="C646" s="1"/>
      <c r="D646" s="1"/>
    </row>
    <row r="647" spans="1:4" ht="12.75" x14ac:dyDescent="0.2">
      <c r="A647" s="1"/>
      <c r="B647" s="1"/>
      <c r="C647" s="1"/>
      <c r="D647" s="1"/>
    </row>
    <row r="648" spans="1:4" ht="12.75" x14ac:dyDescent="0.2">
      <c r="A648" s="1"/>
      <c r="B648" s="1"/>
      <c r="C648" s="1"/>
      <c r="D648" s="1"/>
    </row>
    <row r="649" spans="1:4" ht="12.75" x14ac:dyDescent="0.2">
      <c r="A649" s="1"/>
      <c r="B649" s="1"/>
      <c r="C649" s="1"/>
      <c r="D649" s="1"/>
    </row>
    <row r="650" spans="1:4" ht="12.75" x14ac:dyDescent="0.2">
      <c r="A650" s="1"/>
      <c r="B650" s="1"/>
      <c r="C650" s="1"/>
      <c r="D650" s="1"/>
    </row>
    <row r="651" spans="1:4" ht="12.75" x14ac:dyDescent="0.2">
      <c r="A651" s="1"/>
      <c r="B651" s="1"/>
      <c r="C651" s="1"/>
      <c r="D651" s="1"/>
    </row>
    <row r="652" spans="1:4" ht="12.75" x14ac:dyDescent="0.2">
      <c r="A652" s="1"/>
      <c r="B652" s="1"/>
      <c r="C652" s="1"/>
      <c r="D652" s="1"/>
    </row>
    <row r="653" spans="1:4" ht="12.75" x14ac:dyDescent="0.2">
      <c r="A653" s="1"/>
      <c r="B653" s="1"/>
      <c r="C653" s="1"/>
      <c r="D653" s="1"/>
    </row>
    <row r="654" spans="1:4" ht="12.75" x14ac:dyDescent="0.2">
      <c r="A654" s="1"/>
      <c r="B654" s="1"/>
      <c r="C654" s="1"/>
      <c r="D654" s="1"/>
    </row>
    <row r="655" spans="1:4" ht="12.75" x14ac:dyDescent="0.2">
      <c r="A655" s="1"/>
      <c r="B655" s="1"/>
      <c r="C655" s="1"/>
      <c r="D655" s="1"/>
    </row>
    <row r="656" spans="1:4" ht="12.75" x14ac:dyDescent="0.2">
      <c r="A656" s="1"/>
      <c r="B656" s="1"/>
      <c r="C656" s="1"/>
      <c r="D656" s="1"/>
    </row>
    <row r="657" spans="1:4" ht="12.75" x14ac:dyDescent="0.2">
      <c r="A657" s="1"/>
      <c r="B657" s="1"/>
      <c r="C657" s="1"/>
      <c r="D657" s="1"/>
    </row>
    <row r="658" spans="1:4" ht="12.75" x14ac:dyDescent="0.2">
      <c r="A658" s="1"/>
      <c r="B658" s="1"/>
      <c r="C658" s="1"/>
      <c r="D658" s="1"/>
    </row>
    <row r="659" spans="1:4" ht="12.75" x14ac:dyDescent="0.2">
      <c r="A659" s="1"/>
      <c r="B659" s="1"/>
      <c r="C659" s="1"/>
      <c r="D659" s="1"/>
    </row>
    <row r="660" spans="1:4" ht="12.75" x14ac:dyDescent="0.2">
      <c r="A660" s="1"/>
      <c r="B660" s="1"/>
      <c r="C660" s="1"/>
      <c r="D660" s="1"/>
    </row>
    <row r="661" spans="1:4" ht="12.75" x14ac:dyDescent="0.2">
      <c r="A661" s="1"/>
      <c r="B661" s="1"/>
      <c r="C661" s="1"/>
      <c r="D661" s="1"/>
    </row>
    <row r="662" spans="1:4" ht="12.75" x14ac:dyDescent="0.2">
      <c r="A662" s="1"/>
      <c r="B662" s="1"/>
      <c r="C662" s="1"/>
      <c r="D662" s="1"/>
    </row>
    <row r="663" spans="1:4" ht="12.75" x14ac:dyDescent="0.2">
      <c r="A663" s="1"/>
      <c r="B663" s="1"/>
      <c r="C663" s="1"/>
      <c r="D663" s="1"/>
    </row>
    <row r="664" spans="1:4" ht="12.75" x14ac:dyDescent="0.2">
      <c r="A664" s="1"/>
      <c r="B664" s="1"/>
      <c r="C664" s="1"/>
      <c r="D664" s="1"/>
    </row>
    <row r="665" spans="1:4" ht="12.75" x14ac:dyDescent="0.2">
      <c r="A665" s="1"/>
      <c r="B665" s="1"/>
      <c r="C665" s="1"/>
      <c r="D665" s="1"/>
    </row>
    <row r="666" spans="1:4" ht="12.75" x14ac:dyDescent="0.2">
      <c r="A666" s="1"/>
      <c r="B666" s="1"/>
      <c r="C666" s="1"/>
      <c r="D666" s="1"/>
    </row>
    <row r="667" spans="1:4" ht="12.75" x14ac:dyDescent="0.2">
      <c r="A667" s="1"/>
      <c r="B667" s="1"/>
      <c r="C667" s="1"/>
      <c r="D667" s="1"/>
    </row>
    <row r="668" spans="1:4" ht="12.75" x14ac:dyDescent="0.2">
      <c r="A668" s="1"/>
      <c r="B668" s="1"/>
      <c r="C668" s="1"/>
      <c r="D668" s="1"/>
    </row>
    <row r="669" spans="1:4" ht="12.75" x14ac:dyDescent="0.2">
      <c r="A669" s="1"/>
      <c r="B669" s="1"/>
      <c r="C669" s="1"/>
      <c r="D669" s="1"/>
    </row>
    <row r="670" spans="1:4" ht="12.75" x14ac:dyDescent="0.2">
      <c r="A670" s="1"/>
      <c r="B670" s="1"/>
      <c r="C670" s="1"/>
      <c r="D670" s="1"/>
    </row>
    <row r="671" spans="1:4" ht="12.75" x14ac:dyDescent="0.2">
      <c r="A671" s="1"/>
      <c r="B671" s="1"/>
      <c r="C671" s="1"/>
      <c r="D671" s="1"/>
    </row>
    <row r="672" spans="1:4" ht="12.75" x14ac:dyDescent="0.2">
      <c r="A672" s="1"/>
      <c r="B672" s="1"/>
      <c r="C672" s="1"/>
      <c r="D672" s="1"/>
    </row>
    <row r="673" spans="1:4" ht="12.75" x14ac:dyDescent="0.2">
      <c r="A673" s="1"/>
      <c r="B673" s="1"/>
      <c r="C673" s="1"/>
      <c r="D673" s="1"/>
    </row>
    <row r="674" spans="1:4" ht="12.75" x14ac:dyDescent="0.2">
      <c r="A674" s="1"/>
      <c r="B674" s="1"/>
      <c r="C674" s="1"/>
      <c r="D674" s="1"/>
    </row>
    <row r="675" spans="1:4" ht="12.75" x14ac:dyDescent="0.2">
      <c r="A675" s="1"/>
      <c r="B675" s="1"/>
      <c r="C675" s="1"/>
      <c r="D675" s="1"/>
    </row>
    <row r="676" spans="1:4" ht="12.75" x14ac:dyDescent="0.2">
      <c r="A676" s="1"/>
      <c r="B676" s="1"/>
      <c r="C676" s="1"/>
      <c r="D676" s="1"/>
    </row>
    <row r="677" spans="1:4" ht="12.75" x14ac:dyDescent="0.2">
      <c r="A677" s="1"/>
      <c r="B677" s="1"/>
      <c r="C677" s="1"/>
      <c r="D677" s="1"/>
    </row>
    <row r="678" spans="1:4" ht="12.75" x14ac:dyDescent="0.2">
      <c r="A678" s="1"/>
      <c r="B678" s="1"/>
      <c r="C678" s="1"/>
      <c r="D678" s="1"/>
    </row>
    <row r="679" spans="1:4" ht="12.75" x14ac:dyDescent="0.2">
      <c r="A679" s="1"/>
      <c r="B679" s="1"/>
      <c r="C679" s="1"/>
      <c r="D679" s="1"/>
    </row>
    <row r="680" spans="1:4" ht="12.75" x14ac:dyDescent="0.2">
      <c r="A680" s="1"/>
      <c r="B680" s="1"/>
      <c r="C680" s="1"/>
      <c r="D680" s="1"/>
    </row>
    <row r="681" spans="1:4" ht="12.75" x14ac:dyDescent="0.2">
      <c r="A681" s="1"/>
      <c r="B681" s="1"/>
      <c r="C681" s="1"/>
      <c r="D681" s="1"/>
    </row>
    <row r="682" spans="1:4" ht="12.75" x14ac:dyDescent="0.2">
      <c r="A682" s="1"/>
      <c r="B682" s="1"/>
      <c r="C682" s="1"/>
      <c r="D682" s="1"/>
    </row>
    <row r="683" spans="1:4" ht="12.75" x14ac:dyDescent="0.2">
      <c r="A683" s="1"/>
      <c r="B683" s="1"/>
      <c r="C683" s="1"/>
      <c r="D683" s="1"/>
    </row>
    <row r="684" spans="1:4" ht="12.75" x14ac:dyDescent="0.2">
      <c r="A684" s="1"/>
      <c r="B684" s="1"/>
      <c r="C684" s="1"/>
      <c r="D684" s="1"/>
    </row>
    <row r="685" spans="1:4" ht="12.75" x14ac:dyDescent="0.2">
      <c r="A685" s="1"/>
      <c r="B685" s="1"/>
      <c r="C685" s="1"/>
      <c r="D685" s="1"/>
    </row>
    <row r="686" spans="1:4" ht="12.75" x14ac:dyDescent="0.2">
      <c r="A686" s="1"/>
      <c r="B686" s="1"/>
      <c r="C686" s="1"/>
      <c r="D686" s="1"/>
    </row>
    <row r="687" spans="1:4" ht="12.75" x14ac:dyDescent="0.2">
      <c r="A687" s="1"/>
      <c r="B687" s="1"/>
      <c r="C687" s="1"/>
      <c r="D687" s="1"/>
    </row>
    <row r="688" spans="1:4" ht="12.75" x14ac:dyDescent="0.2">
      <c r="A688" s="1"/>
      <c r="B688" s="1"/>
      <c r="C688" s="1"/>
      <c r="D688" s="1"/>
    </row>
    <row r="689" spans="1:4" ht="12.75" x14ac:dyDescent="0.2">
      <c r="A689" s="1"/>
      <c r="B689" s="1"/>
      <c r="C689" s="1"/>
      <c r="D689" s="1"/>
    </row>
    <row r="690" spans="1:4" ht="12.75" x14ac:dyDescent="0.2">
      <c r="A690" s="1"/>
      <c r="B690" s="1"/>
      <c r="C690" s="1"/>
      <c r="D690" s="1"/>
    </row>
    <row r="691" spans="1:4" ht="12.75" x14ac:dyDescent="0.2">
      <c r="A691" s="1"/>
      <c r="B691" s="1"/>
      <c r="C691" s="1"/>
      <c r="D691" s="1"/>
    </row>
    <row r="692" spans="1:4" ht="12.75" x14ac:dyDescent="0.2">
      <c r="A692" s="1"/>
      <c r="B692" s="1"/>
      <c r="C692" s="1"/>
      <c r="D692" s="1"/>
    </row>
    <row r="693" spans="1:4" ht="12.75" x14ac:dyDescent="0.2">
      <c r="A693" s="1"/>
      <c r="B693" s="1"/>
      <c r="C693" s="1"/>
      <c r="D693" s="1"/>
    </row>
    <row r="694" spans="1:4" ht="12.75" x14ac:dyDescent="0.2">
      <c r="A694" s="1"/>
      <c r="B694" s="1"/>
      <c r="C694" s="1"/>
      <c r="D694" s="1"/>
    </row>
    <row r="695" spans="1:4" ht="12.75" x14ac:dyDescent="0.2">
      <c r="A695" s="1"/>
      <c r="B695" s="1"/>
      <c r="C695" s="1"/>
      <c r="D695" s="1"/>
    </row>
    <row r="696" spans="1:4" ht="12.75" x14ac:dyDescent="0.2">
      <c r="A696" s="1"/>
      <c r="B696" s="1"/>
      <c r="C696" s="1"/>
      <c r="D696" s="1"/>
    </row>
    <row r="697" spans="1:4" ht="12.75" x14ac:dyDescent="0.2">
      <c r="A697" s="1"/>
      <c r="B697" s="1"/>
      <c r="C697" s="1"/>
      <c r="D697" s="1"/>
    </row>
    <row r="698" spans="1:4" ht="12.75" x14ac:dyDescent="0.2">
      <c r="A698" s="1"/>
      <c r="B698" s="1"/>
      <c r="C698" s="1"/>
      <c r="D698" s="1"/>
    </row>
    <row r="699" spans="1:4" ht="12.75" x14ac:dyDescent="0.2">
      <c r="A699" s="1"/>
      <c r="B699" s="1"/>
      <c r="C699" s="1"/>
      <c r="D699" s="1"/>
    </row>
    <row r="700" spans="1:4" ht="12.75" x14ac:dyDescent="0.2">
      <c r="A700" s="1"/>
      <c r="B700" s="1"/>
      <c r="C700" s="1"/>
      <c r="D700" s="1"/>
    </row>
    <row r="701" spans="1:4" ht="12.75" x14ac:dyDescent="0.2">
      <c r="A701" s="1"/>
      <c r="B701" s="1"/>
      <c r="C701" s="1"/>
      <c r="D701" s="1"/>
    </row>
    <row r="702" spans="1:4" ht="12.75" x14ac:dyDescent="0.2">
      <c r="A702" s="1"/>
      <c r="B702" s="1"/>
      <c r="C702" s="1"/>
      <c r="D702" s="1"/>
    </row>
    <row r="703" spans="1:4" ht="12.75" x14ac:dyDescent="0.2">
      <c r="A703" s="1"/>
      <c r="B703" s="1"/>
      <c r="C703" s="1"/>
      <c r="D703" s="1"/>
    </row>
    <row r="704" spans="1:4" ht="12.75" x14ac:dyDescent="0.2">
      <c r="A704" s="1"/>
      <c r="B704" s="1"/>
      <c r="C704" s="1"/>
      <c r="D704" s="1"/>
    </row>
    <row r="705" spans="1:4" ht="12.75" x14ac:dyDescent="0.2">
      <c r="A705" s="1"/>
      <c r="B705" s="1"/>
      <c r="C705" s="1"/>
      <c r="D705" s="1"/>
    </row>
    <row r="706" spans="1:4" ht="12.75" x14ac:dyDescent="0.2">
      <c r="A706" s="1"/>
      <c r="B706" s="1"/>
      <c r="C706" s="1"/>
      <c r="D706" s="1"/>
    </row>
    <row r="707" spans="1:4" ht="12.75" x14ac:dyDescent="0.2">
      <c r="A707" s="1"/>
      <c r="B707" s="1"/>
      <c r="C707" s="1"/>
      <c r="D707" s="1"/>
    </row>
    <row r="708" spans="1:4" ht="12.75" x14ac:dyDescent="0.2">
      <c r="A708" s="1"/>
      <c r="B708" s="1"/>
      <c r="C708" s="1"/>
      <c r="D708" s="1"/>
    </row>
    <row r="709" spans="1:4" ht="12.75" x14ac:dyDescent="0.2">
      <c r="A709" s="1"/>
      <c r="B709" s="1"/>
      <c r="C709" s="1"/>
      <c r="D709" s="1"/>
    </row>
    <row r="710" spans="1:4" ht="12.75" x14ac:dyDescent="0.2">
      <c r="A710" s="1"/>
      <c r="B710" s="1"/>
      <c r="C710" s="1"/>
      <c r="D710" s="1"/>
    </row>
    <row r="711" spans="1:4" ht="12.75" x14ac:dyDescent="0.2">
      <c r="A711" s="1"/>
      <c r="B711" s="1"/>
      <c r="C711" s="1"/>
      <c r="D711" s="1"/>
    </row>
    <row r="712" spans="1:4" ht="12.75" x14ac:dyDescent="0.2">
      <c r="A712" s="1"/>
      <c r="B712" s="1"/>
      <c r="C712" s="1"/>
      <c r="D712" s="1"/>
    </row>
    <row r="713" spans="1:4" ht="12.75" x14ac:dyDescent="0.2">
      <c r="A713" s="1"/>
      <c r="B713" s="1"/>
      <c r="C713" s="1"/>
      <c r="D713" s="1"/>
    </row>
    <row r="714" spans="1:4" ht="12.75" x14ac:dyDescent="0.2">
      <c r="A714" s="1"/>
      <c r="B714" s="1"/>
      <c r="C714" s="1"/>
      <c r="D714" s="1"/>
    </row>
    <row r="715" spans="1:4" ht="12.75" x14ac:dyDescent="0.2">
      <c r="A715" s="1"/>
      <c r="B715" s="1"/>
      <c r="C715" s="1"/>
      <c r="D715" s="1"/>
    </row>
    <row r="716" spans="1:4" ht="12.75" x14ac:dyDescent="0.2">
      <c r="A716" s="1"/>
      <c r="B716" s="1"/>
      <c r="C716" s="1"/>
      <c r="D716" s="1"/>
    </row>
    <row r="717" spans="1:4" ht="12.75" x14ac:dyDescent="0.2">
      <c r="A717" s="1"/>
      <c r="B717" s="1"/>
      <c r="C717" s="1"/>
      <c r="D717" s="1"/>
    </row>
    <row r="718" spans="1:4" ht="12.75" x14ac:dyDescent="0.2">
      <c r="A718" s="1"/>
      <c r="B718" s="1"/>
      <c r="C718" s="1"/>
      <c r="D718" s="1"/>
    </row>
    <row r="719" spans="1:4" ht="12.75" x14ac:dyDescent="0.2">
      <c r="A719" s="1"/>
      <c r="B719" s="1"/>
      <c r="C719" s="1"/>
      <c r="D719" s="1"/>
    </row>
    <row r="720" spans="1:4" ht="12.75" x14ac:dyDescent="0.2">
      <c r="A720" s="1"/>
      <c r="B720" s="1"/>
      <c r="C720" s="1"/>
      <c r="D720" s="1"/>
    </row>
    <row r="721" spans="1:4" ht="12.75" x14ac:dyDescent="0.2">
      <c r="A721" s="1"/>
      <c r="B721" s="1"/>
      <c r="C721" s="1"/>
      <c r="D721" s="1"/>
    </row>
    <row r="722" spans="1:4" ht="12.75" x14ac:dyDescent="0.2">
      <c r="A722" s="1"/>
      <c r="B722" s="1"/>
      <c r="C722" s="1"/>
      <c r="D722" s="1"/>
    </row>
    <row r="723" spans="1:4" ht="12.75" x14ac:dyDescent="0.2">
      <c r="A723" s="1"/>
      <c r="B723" s="1"/>
      <c r="C723" s="1"/>
      <c r="D723" s="1"/>
    </row>
    <row r="724" spans="1:4" ht="12.75" x14ac:dyDescent="0.2">
      <c r="A724" s="1"/>
      <c r="B724" s="1"/>
      <c r="C724" s="1"/>
      <c r="D724" s="1"/>
    </row>
    <row r="725" spans="1:4" ht="12.75" x14ac:dyDescent="0.2">
      <c r="A725" s="1"/>
      <c r="B725" s="1"/>
      <c r="C725" s="1"/>
      <c r="D725" s="1"/>
    </row>
    <row r="726" spans="1:4" ht="12.75" x14ac:dyDescent="0.2">
      <c r="A726" s="1"/>
      <c r="B726" s="1"/>
      <c r="C726" s="1"/>
      <c r="D726" s="1"/>
    </row>
    <row r="727" spans="1:4" ht="12.75" x14ac:dyDescent="0.2">
      <c r="A727" s="1"/>
      <c r="B727" s="1"/>
      <c r="C727" s="1"/>
      <c r="D727" s="1"/>
    </row>
    <row r="728" spans="1:4" ht="12.75" x14ac:dyDescent="0.2">
      <c r="A728" s="1"/>
      <c r="B728" s="1"/>
      <c r="C728" s="1"/>
      <c r="D728" s="1"/>
    </row>
    <row r="729" spans="1:4" ht="12.75" x14ac:dyDescent="0.2">
      <c r="A729" s="1"/>
      <c r="B729" s="1"/>
      <c r="C729" s="1"/>
      <c r="D729" s="1"/>
    </row>
    <row r="730" spans="1:4" ht="12.75" x14ac:dyDescent="0.2">
      <c r="A730" s="1"/>
      <c r="B730" s="1"/>
      <c r="C730" s="1"/>
      <c r="D730" s="1"/>
    </row>
    <row r="731" spans="1:4" ht="12.75" x14ac:dyDescent="0.2">
      <c r="A731" s="1"/>
      <c r="B731" s="1"/>
      <c r="C731" s="1"/>
      <c r="D731" s="1"/>
    </row>
    <row r="732" spans="1:4" ht="12.75" x14ac:dyDescent="0.2">
      <c r="A732" s="1"/>
      <c r="B732" s="1"/>
      <c r="C732" s="1"/>
      <c r="D732" s="1"/>
    </row>
    <row r="733" spans="1:4" ht="12.75" x14ac:dyDescent="0.2">
      <c r="A733" s="1"/>
      <c r="B733" s="1"/>
      <c r="C733" s="1"/>
      <c r="D733" s="1"/>
    </row>
    <row r="734" spans="1:4" ht="12.75" x14ac:dyDescent="0.2">
      <c r="A734" s="1"/>
      <c r="B734" s="1"/>
      <c r="C734" s="1"/>
      <c r="D734" s="1"/>
    </row>
    <row r="735" spans="1:4" ht="12.75" x14ac:dyDescent="0.2">
      <c r="A735" s="1"/>
      <c r="B735" s="1"/>
      <c r="C735" s="1"/>
      <c r="D735" s="1"/>
    </row>
    <row r="736" spans="1:4" ht="12.75" x14ac:dyDescent="0.2">
      <c r="A736" s="1"/>
      <c r="B736" s="1"/>
      <c r="C736" s="1"/>
      <c r="D736" s="1"/>
    </row>
    <row r="737" spans="1:4" ht="12.75" x14ac:dyDescent="0.2">
      <c r="A737" s="1"/>
      <c r="B737" s="1"/>
      <c r="C737" s="1"/>
      <c r="D737" s="1"/>
    </row>
    <row r="738" spans="1:4" ht="12.75" x14ac:dyDescent="0.2">
      <c r="A738" s="1"/>
      <c r="B738" s="1"/>
      <c r="C738" s="1"/>
      <c r="D738" s="1"/>
    </row>
    <row r="739" spans="1:4" ht="12.75" x14ac:dyDescent="0.2">
      <c r="A739" s="1"/>
      <c r="B739" s="1"/>
      <c r="C739" s="1"/>
      <c r="D739" s="1"/>
    </row>
    <row r="740" spans="1:4" ht="12.75" x14ac:dyDescent="0.2">
      <c r="A740" s="1"/>
      <c r="B740" s="1"/>
      <c r="C740" s="1"/>
      <c r="D740" s="1"/>
    </row>
    <row r="741" spans="1:4" ht="12.75" x14ac:dyDescent="0.2">
      <c r="A741" s="1"/>
      <c r="B741" s="1"/>
      <c r="C741" s="1"/>
      <c r="D741" s="1"/>
    </row>
    <row r="742" spans="1:4" ht="12.75" x14ac:dyDescent="0.2">
      <c r="A742" s="1"/>
      <c r="B742" s="1"/>
      <c r="C742" s="1"/>
      <c r="D742" s="1"/>
    </row>
    <row r="743" spans="1:4" ht="12.75" x14ac:dyDescent="0.2">
      <c r="A743" s="1"/>
      <c r="B743" s="1"/>
      <c r="C743" s="1"/>
      <c r="D743" s="1"/>
    </row>
    <row r="744" spans="1:4" ht="12.75" x14ac:dyDescent="0.2">
      <c r="A744" s="1"/>
      <c r="B744" s="1"/>
      <c r="C744" s="1"/>
      <c r="D744" s="1"/>
    </row>
    <row r="745" spans="1:4" ht="12.75" x14ac:dyDescent="0.2">
      <c r="A745" s="1"/>
      <c r="B745" s="1"/>
      <c r="C745" s="1"/>
      <c r="D745" s="1"/>
    </row>
    <row r="746" spans="1:4" ht="12.75" x14ac:dyDescent="0.2">
      <c r="A746" s="1"/>
      <c r="B746" s="1"/>
      <c r="C746" s="1"/>
      <c r="D746" s="1"/>
    </row>
    <row r="747" spans="1:4" ht="12.75" x14ac:dyDescent="0.2">
      <c r="A747" s="1"/>
      <c r="B747" s="1"/>
      <c r="C747" s="1"/>
      <c r="D747" s="1"/>
    </row>
    <row r="748" spans="1:4" ht="12.75" x14ac:dyDescent="0.2">
      <c r="A748" s="1"/>
      <c r="B748" s="1"/>
      <c r="C748" s="1"/>
      <c r="D748" s="1"/>
    </row>
    <row r="749" spans="1:4" ht="12.75" x14ac:dyDescent="0.2">
      <c r="A749" s="1"/>
      <c r="B749" s="1"/>
      <c r="C749" s="1"/>
      <c r="D749" s="1"/>
    </row>
    <row r="750" spans="1:4" ht="12.75" x14ac:dyDescent="0.2">
      <c r="A750" s="1"/>
      <c r="B750" s="1"/>
      <c r="C750" s="1"/>
      <c r="D750" s="1"/>
    </row>
    <row r="751" spans="1:4" ht="12.75" x14ac:dyDescent="0.2">
      <c r="A751" s="1"/>
      <c r="B751" s="1"/>
      <c r="C751" s="1"/>
      <c r="D751" s="1"/>
    </row>
    <row r="752" spans="1:4" ht="12.75" x14ac:dyDescent="0.2">
      <c r="A752" s="1"/>
      <c r="B752" s="1"/>
      <c r="C752" s="1"/>
      <c r="D752" s="1"/>
    </row>
    <row r="753" spans="1:4" ht="12.75" x14ac:dyDescent="0.2">
      <c r="A753" s="1"/>
      <c r="B753" s="1"/>
      <c r="C753" s="1"/>
      <c r="D753" s="1"/>
    </row>
    <row r="754" spans="1:4" ht="12.75" x14ac:dyDescent="0.2">
      <c r="A754" s="1"/>
      <c r="B754" s="1"/>
      <c r="C754" s="1"/>
      <c r="D754" s="1"/>
    </row>
    <row r="755" spans="1:4" ht="12.75" x14ac:dyDescent="0.2">
      <c r="A755" s="1"/>
      <c r="B755" s="1"/>
      <c r="C755" s="1"/>
      <c r="D755" s="1"/>
    </row>
    <row r="756" spans="1:4" ht="12.75" x14ac:dyDescent="0.2">
      <c r="A756" s="1"/>
      <c r="B756" s="1"/>
      <c r="C756" s="1"/>
      <c r="D756" s="1"/>
    </row>
    <row r="757" spans="1:4" ht="12.75" x14ac:dyDescent="0.2">
      <c r="A757" s="1"/>
      <c r="B757" s="1"/>
      <c r="C757" s="1"/>
      <c r="D757" s="1"/>
    </row>
    <row r="758" spans="1:4" ht="12.75" x14ac:dyDescent="0.2">
      <c r="A758" s="1"/>
      <c r="B758" s="1"/>
      <c r="C758" s="1"/>
      <c r="D758" s="1"/>
    </row>
    <row r="759" spans="1:4" ht="12.75" x14ac:dyDescent="0.2">
      <c r="A759" s="1"/>
      <c r="B759" s="1"/>
      <c r="C759" s="1"/>
      <c r="D759" s="1"/>
    </row>
    <row r="760" spans="1:4" ht="12.75" x14ac:dyDescent="0.2">
      <c r="A760" s="1"/>
      <c r="B760" s="1"/>
      <c r="C760" s="1"/>
      <c r="D760" s="1"/>
    </row>
    <row r="761" spans="1:4" ht="12.75" x14ac:dyDescent="0.2">
      <c r="A761" s="1"/>
      <c r="B761" s="1"/>
      <c r="C761" s="1"/>
      <c r="D761" s="1"/>
    </row>
    <row r="762" spans="1:4" ht="12.75" x14ac:dyDescent="0.2">
      <c r="A762" s="1"/>
      <c r="B762" s="1"/>
      <c r="C762" s="1"/>
      <c r="D762" s="1"/>
    </row>
    <row r="763" spans="1:4" ht="12.75" x14ac:dyDescent="0.2">
      <c r="A763" s="1"/>
      <c r="B763" s="1"/>
      <c r="C763" s="1"/>
      <c r="D763" s="1"/>
    </row>
    <row r="764" spans="1:4" ht="12.75" x14ac:dyDescent="0.2">
      <c r="A764" s="1"/>
      <c r="B764" s="1"/>
      <c r="C764" s="1"/>
      <c r="D764" s="1"/>
    </row>
    <row r="765" spans="1:4" ht="12.75" x14ac:dyDescent="0.2">
      <c r="A765" s="1"/>
      <c r="B765" s="1"/>
      <c r="C765" s="1"/>
      <c r="D765" s="1"/>
    </row>
    <row r="766" spans="1:4" ht="12.75" x14ac:dyDescent="0.2">
      <c r="A766" s="1"/>
      <c r="B766" s="1"/>
      <c r="C766" s="1"/>
      <c r="D766" s="1"/>
    </row>
    <row r="767" spans="1:4" ht="12.75" x14ac:dyDescent="0.2">
      <c r="A767" s="1"/>
      <c r="B767" s="1"/>
      <c r="C767" s="1"/>
      <c r="D767" s="1"/>
    </row>
    <row r="768" spans="1:4" ht="12.75" x14ac:dyDescent="0.2">
      <c r="A768" s="1"/>
      <c r="B768" s="1"/>
      <c r="C768" s="1"/>
      <c r="D768" s="1"/>
    </row>
    <row r="769" spans="1:4" ht="12.75" x14ac:dyDescent="0.2">
      <c r="A769" s="1"/>
      <c r="B769" s="1"/>
      <c r="C769" s="1"/>
      <c r="D769" s="1"/>
    </row>
    <row r="770" spans="1:4" ht="12.75" x14ac:dyDescent="0.2">
      <c r="A770" s="1"/>
      <c r="B770" s="1"/>
      <c r="C770" s="1"/>
      <c r="D770" s="1"/>
    </row>
    <row r="771" spans="1:4" ht="12.75" x14ac:dyDescent="0.2">
      <c r="A771" s="1"/>
      <c r="B771" s="1"/>
      <c r="C771" s="1"/>
      <c r="D771" s="1"/>
    </row>
    <row r="772" spans="1:4" ht="12.75" x14ac:dyDescent="0.2">
      <c r="A772" s="1"/>
      <c r="B772" s="1"/>
      <c r="C772" s="1"/>
      <c r="D772" s="1"/>
    </row>
    <row r="773" spans="1:4" ht="12.75" x14ac:dyDescent="0.2">
      <c r="A773" s="1"/>
      <c r="B773" s="1"/>
      <c r="C773" s="1"/>
      <c r="D773" s="1"/>
    </row>
    <row r="774" spans="1:4" ht="12.75" x14ac:dyDescent="0.2">
      <c r="A774" s="1"/>
      <c r="B774" s="1"/>
      <c r="C774" s="1"/>
      <c r="D774" s="1"/>
    </row>
    <row r="775" spans="1:4" ht="12.75" x14ac:dyDescent="0.2">
      <c r="A775" s="1"/>
      <c r="B775" s="1"/>
      <c r="C775" s="1"/>
      <c r="D775" s="1"/>
    </row>
    <row r="776" spans="1:4" ht="12.75" x14ac:dyDescent="0.2">
      <c r="A776" s="1"/>
      <c r="B776" s="1"/>
      <c r="C776" s="1"/>
      <c r="D776" s="1"/>
    </row>
    <row r="777" spans="1:4" ht="12.75" x14ac:dyDescent="0.2">
      <c r="A777" s="1"/>
      <c r="B777" s="1"/>
      <c r="C777" s="1"/>
      <c r="D777" s="1"/>
    </row>
    <row r="778" spans="1:4" ht="12.75" x14ac:dyDescent="0.2">
      <c r="A778" s="1"/>
      <c r="B778" s="1"/>
      <c r="C778" s="1"/>
      <c r="D778" s="1"/>
    </row>
    <row r="779" spans="1:4" ht="12.75" x14ac:dyDescent="0.2">
      <c r="A779" s="1"/>
      <c r="B779" s="1"/>
      <c r="C779" s="1"/>
      <c r="D779" s="1"/>
    </row>
    <row r="780" spans="1:4" ht="12.75" x14ac:dyDescent="0.2">
      <c r="A780" s="1"/>
      <c r="B780" s="1"/>
      <c r="C780" s="1"/>
      <c r="D780" s="1"/>
    </row>
    <row r="781" spans="1:4" ht="12.75" x14ac:dyDescent="0.2">
      <c r="A781" s="1"/>
      <c r="B781" s="1"/>
      <c r="C781" s="1"/>
      <c r="D781" s="1"/>
    </row>
    <row r="782" spans="1:4" ht="12.75" x14ac:dyDescent="0.2">
      <c r="A782" s="1"/>
      <c r="B782" s="1"/>
      <c r="C782" s="1"/>
      <c r="D782" s="1"/>
    </row>
    <row r="783" spans="1:4" ht="12.75" x14ac:dyDescent="0.2">
      <c r="A783" s="1"/>
      <c r="B783" s="1"/>
      <c r="C783" s="1"/>
      <c r="D783" s="1"/>
    </row>
    <row r="784" spans="1:4" ht="12.75" x14ac:dyDescent="0.2">
      <c r="A784" s="1"/>
      <c r="B784" s="1"/>
      <c r="C784" s="1"/>
      <c r="D784" s="1"/>
    </row>
    <row r="785" spans="1:4" ht="12.75" x14ac:dyDescent="0.2">
      <c r="A785" s="1"/>
      <c r="B785" s="1"/>
      <c r="C785" s="1"/>
      <c r="D785" s="1"/>
    </row>
    <row r="786" spans="1:4" ht="12.75" x14ac:dyDescent="0.2">
      <c r="A786" s="1"/>
      <c r="B786" s="1"/>
      <c r="C786" s="1"/>
      <c r="D786" s="1"/>
    </row>
    <row r="787" spans="1:4" ht="12.75" x14ac:dyDescent="0.2">
      <c r="A787" s="1"/>
      <c r="B787" s="1"/>
      <c r="C787" s="1"/>
      <c r="D787" s="1"/>
    </row>
    <row r="788" spans="1:4" ht="12.75" x14ac:dyDescent="0.2">
      <c r="A788" s="1"/>
      <c r="B788" s="1"/>
      <c r="C788" s="1"/>
      <c r="D788" s="1"/>
    </row>
    <row r="789" spans="1:4" ht="12.75" x14ac:dyDescent="0.2">
      <c r="A789" s="1"/>
      <c r="B789" s="1"/>
      <c r="C789" s="1"/>
      <c r="D789" s="1"/>
    </row>
    <row r="790" spans="1:4" ht="12.75" x14ac:dyDescent="0.2">
      <c r="A790" s="1"/>
      <c r="B790" s="1"/>
      <c r="C790" s="1"/>
      <c r="D790" s="1"/>
    </row>
    <row r="791" spans="1:4" ht="12.75" x14ac:dyDescent="0.2">
      <c r="A791" s="1"/>
      <c r="B791" s="1"/>
      <c r="C791" s="1"/>
      <c r="D791" s="1"/>
    </row>
    <row r="792" spans="1:4" ht="12.75" x14ac:dyDescent="0.2">
      <c r="A792" s="1"/>
      <c r="B792" s="1"/>
      <c r="C792" s="1"/>
      <c r="D792" s="1"/>
    </row>
    <row r="793" spans="1:4" ht="12.75" x14ac:dyDescent="0.2">
      <c r="A793" s="1"/>
      <c r="B793" s="1"/>
      <c r="C793" s="1"/>
      <c r="D793" s="1"/>
    </row>
    <row r="794" spans="1:4" ht="12.75" x14ac:dyDescent="0.2">
      <c r="A794" s="1"/>
      <c r="B794" s="1"/>
      <c r="C794" s="1"/>
      <c r="D794" s="1"/>
    </row>
    <row r="795" spans="1:4" ht="12.75" x14ac:dyDescent="0.2">
      <c r="A795" s="1"/>
      <c r="B795" s="1"/>
      <c r="C795" s="1"/>
      <c r="D795" s="1"/>
    </row>
    <row r="796" spans="1:4" ht="12.75" x14ac:dyDescent="0.2">
      <c r="A796" s="1"/>
      <c r="B796" s="1"/>
      <c r="C796" s="1"/>
      <c r="D796" s="1"/>
    </row>
    <row r="797" spans="1:4" ht="12.75" x14ac:dyDescent="0.2">
      <c r="A797" s="1"/>
      <c r="B797" s="1"/>
      <c r="C797" s="1"/>
      <c r="D797" s="1"/>
    </row>
    <row r="798" spans="1:4" ht="12.75" x14ac:dyDescent="0.2">
      <c r="A798" s="1"/>
      <c r="B798" s="1"/>
      <c r="C798" s="1"/>
      <c r="D798" s="1"/>
    </row>
    <row r="799" spans="1:4" ht="12.75" x14ac:dyDescent="0.2">
      <c r="A799" s="1"/>
      <c r="B799" s="1"/>
      <c r="C799" s="1"/>
      <c r="D799" s="1"/>
    </row>
    <row r="800" spans="1:4" ht="12.75" x14ac:dyDescent="0.2">
      <c r="A800" s="1"/>
      <c r="B800" s="1"/>
      <c r="C800" s="1"/>
      <c r="D800" s="1"/>
    </row>
    <row r="801" spans="1:4" ht="12.75" x14ac:dyDescent="0.2">
      <c r="A801" s="1"/>
      <c r="B801" s="1"/>
      <c r="C801" s="1"/>
      <c r="D801" s="1"/>
    </row>
    <row r="802" spans="1:4" ht="12.75" x14ac:dyDescent="0.2">
      <c r="A802" s="1"/>
      <c r="B802" s="1"/>
      <c r="C802" s="1"/>
      <c r="D802" s="1"/>
    </row>
    <row r="803" spans="1:4" ht="12.75" x14ac:dyDescent="0.2">
      <c r="A803" s="1"/>
      <c r="B803" s="1"/>
      <c r="C803" s="1"/>
      <c r="D803" s="1"/>
    </row>
    <row r="804" spans="1:4" ht="12.75" x14ac:dyDescent="0.2">
      <c r="A804" s="1"/>
      <c r="B804" s="1"/>
      <c r="C804" s="1"/>
      <c r="D804" s="1"/>
    </row>
    <row r="805" spans="1:4" ht="12.75" x14ac:dyDescent="0.2">
      <c r="A805" s="1"/>
      <c r="B805" s="1"/>
      <c r="C805" s="1"/>
      <c r="D805" s="1"/>
    </row>
    <row r="806" spans="1:4" ht="12.75" x14ac:dyDescent="0.2">
      <c r="A806" s="1"/>
      <c r="B806" s="1"/>
      <c r="C806" s="1"/>
      <c r="D806" s="1"/>
    </row>
    <row r="807" spans="1:4" ht="12.75" x14ac:dyDescent="0.2">
      <c r="A807" s="1"/>
      <c r="B807" s="1"/>
      <c r="C807" s="1"/>
      <c r="D807" s="1"/>
    </row>
    <row r="808" spans="1:4" ht="12.75" x14ac:dyDescent="0.2">
      <c r="A808" s="1"/>
      <c r="B808" s="1"/>
      <c r="C808" s="1"/>
      <c r="D808" s="1"/>
    </row>
    <row r="809" spans="1:4" ht="12.75" x14ac:dyDescent="0.2">
      <c r="A809" s="1"/>
      <c r="B809" s="1"/>
      <c r="C809" s="1"/>
      <c r="D809" s="1"/>
    </row>
    <row r="810" spans="1:4" ht="12.75" x14ac:dyDescent="0.2">
      <c r="A810" s="1"/>
      <c r="B810" s="1"/>
      <c r="C810" s="1"/>
      <c r="D810" s="1"/>
    </row>
    <row r="811" spans="1:4" ht="12.75" x14ac:dyDescent="0.2">
      <c r="A811" s="1"/>
      <c r="B811" s="1"/>
      <c r="C811" s="1"/>
      <c r="D811" s="1"/>
    </row>
    <row r="812" spans="1:4" ht="12.75" x14ac:dyDescent="0.2">
      <c r="A812" s="1"/>
      <c r="B812" s="1"/>
      <c r="C812" s="1"/>
      <c r="D812" s="1"/>
    </row>
    <row r="813" spans="1:4" ht="12.75" x14ac:dyDescent="0.2">
      <c r="A813" s="1"/>
      <c r="B813" s="1"/>
      <c r="C813" s="1"/>
      <c r="D813" s="1"/>
    </row>
    <row r="814" spans="1:4" ht="12.75" x14ac:dyDescent="0.2">
      <c r="A814" s="1"/>
      <c r="B814" s="1"/>
      <c r="C814" s="1"/>
      <c r="D814" s="1"/>
    </row>
    <row r="815" spans="1:4" ht="12.75" x14ac:dyDescent="0.2">
      <c r="A815" s="1"/>
      <c r="B815" s="1"/>
      <c r="C815" s="1"/>
      <c r="D815" s="1"/>
    </row>
    <row r="816" spans="1:4" ht="12.75" x14ac:dyDescent="0.2">
      <c r="A816" s="1"/>
      <c r="B816" s="1"/>
      <c r="C816" s="1"/>
      <c r="D816" s="1"/>
    </row>
    <row r="817" spans="1:4" ht="12.75" x14ac:dyDescent="0.2">
      <c r="A817" s="1"/>
      <c r="B817" s="1"/>
      <c r="C817" s="1"/>
      <c r="D817" s="1"/>
    </row>
    <row r="818" spans="1:4" ht="12.75" x14ac:dyDescent="0.2">
      <c r="A818" s="1"/>
      <c r="B818" s="1"/>
      <c r="C818" s="1"/>
      <c r="D818" s="1"/>
    </row>
    <row r="819" spans="1:4" ht="12.75" x14ac:dyDescent="0.2">
      <c r="A819" s="1"/>
      <c r="B819" s="1"/>
      <c r="C819" s="1"/>
      <c r="D819" s="1"/>
    </row>
    <row r="820" spans="1:4" ht="12.75" x14ac:dyDescent="0.2">
      <c r="A820" s="1"/>
      <c r="B820" s="1"/>
      <c r="C820" s="1"/>
      <c r="D820" s="1"/>
    </row>
    <row r="821" spans="1:4" ht="12.75" x14ac:dyDescent="0.2">
      <c r="A821" s="1"/>
      <c r="B821" s="1"/>
      <c r="C821" s="1"/>
      <c r="D821" s="1"/>
    </row>
    <row r="822" spans="1:4" ht="12.75" x14ac:dyDescent="0.2">
      <c r="A822" s="1"/>
      <c r="B822" s="1"/>
      <c r="C822" s="1"/>
      <c r="D822" s="1"/>
    </row>
    <row r="823" spans="1:4" ht="12.75" x14ac:dyDescent="0.2">
      <c r="A823" s="1"/>
      <c r="B823" s="1"/>
      <c r="C823" s="1"/>
      <c r="D823" s="1"/>
    </row>
    <row r="824" spans="1:4" ht="12.75" x14ac:dyDescent="0.2">
      <c r="A824" s="1"/>
      <c r="B824" s="1"/>
      <c r="C824" s="1"/>
      <c r="D824" s="1"/>
    </row>
    <row r="825" spans="1:4" ht="12.75" x14ac:dyDescent="0.2">
      <c r="A825" s="1"/>
      <c r="B825" s="1"/>
      <c r="C825" s="1"/>
      <c r="D825" s="1"/>
    </row>
    <row r="826" spans="1:4" ht="12.75" x14ac:dyDescent="0.2">
      <c r="A826" s="1"/>
      <c r="B826" s="1"/>
      <c r="C826" s="1"/>
      <c r="D826" s="1"/>
    </row>
    <row r="827" spans="1:4" ht="12.75" x14ac:dyDescent="0.2">
      <c r="A827" s="1"/>
      <c r="B827" s="1"/>
      <c r="C827" s="1"/>
      <c r="D827" s="1"/>
    </row>
    <row r="828" spans="1:4" ht="12.75" x14ac:dyDescent="0.2">
      <c r="A828" s="1"/>
      <c r="B828" s="1"/>
      <c r="C828" s="1"/>
      <c r="D828" s="1"/>
    </row>
    <row r="829" spans="1:4" ht="12.75" x14ac:dyDescent="0.2">
      <c r="A829" s="1"/>
      <c r="B829" s="1"/>
      <c r="C829" s="1"/>
      <c r="D829" s="1"/>
    </row>
    <row r="830" spans="1:4" ht="12.75" x14ac:dyDescent="0.2">
      <c r="A830" s="1"/>
      <c r="B830" s="1"/>
      <c r="C830" s="1"/>
      <c r="D830" s="1"/>
    </row>
    <row r="831" spans="1:4" ht="12.75" x14ac:dyDescent="0.2">
      <c r="A831" s="1"/>
      <c r="B831" s="1"/>
      <c r="C831" s="1"/>
      <c r="D831" s="1"/>
    </row>
    <row r="832" spans="1:4" ht="12.75" x14ac:dyDescent="0.2">
      <c r="A832" s="1"/>
      <c r="B832" s="1"/>
      <c r="C832" s="1"/>
      <c r="D832" s="1"/>
    </row>
    <row r="833" spans="1:4" ht="12.75" x14ac:dyDescent="0.2">
      <c r="A833" s="1"/>
      <c r="B833" s="1"/>
      <c r="C833" s="1"/>
      <c r="D833" s="1"/>
    </row>
    <row r="834" spans="1:4" ht="12.75" x14ac:dyDescent="0.2">
      <c r="A834" s="1"/>
      <c r="B834" s="1"/>
      <c r="C834" s="1"/>
      <c r="D834" s="1"/>
    </row>
    <row r="835" spans="1:4" ht="12.75" x14ac:dyDescent="0.2">
      <c r="A835" s="1"/>
      <c r="B835" s="1"/>
      <c r="C835" s="1"/>
      <c r="D835" s="1"/>
    </row>
    <row r="836" spans="1:4" ht="12.75" x14ac:dyDescent="0.2">
      <c r="A836" s="1"/>
      <c r="B836" s="1"/>
      <c r="C836" s="1"/>
      <c r="D836" s="1"/>
    </row>
    <row r="837" spans="1:4" ht="12.75" x14ac:dyDescent="0.2">
      <c r="A837" s="1"/>
      <c r="B837" s="1"/>
      <c r="C837" s="1"/>
      <c r="D837" s="1"/>
    </row>
    <row r="838" spans="1:4" ht="12.75" x14ac:dyDescent="0.2">
      <c r="A838" s="1"/>
      <c r="B838" s="1"/>
      <c r="C838" s="1"/>
      <c r="D838" s="1"/>
    </row>
    <row r="839" spans="1:4" ht="12.75" x14ac:dyDescent="0.2">
      <c r="A839" s="1"/>
      <c r="B839" s="1"/>
      <c r="C839" s="1"/>
      <c r="D839" s="1"/>
    </row>
    <row r="840" spans="1:4" ht="12.75" x14ac:dyDescent="0.2">
      <c r="A840" s="1"/>
      <c r="B840" s="1"/>
      <c r="C840" s="1"/>
      <c r="D840" s="1"/>
    </row>
    <row r="841" spans="1:4" ht="12.75" x14ac:dyDescent="0.2">
      <c r="A841" s="1"/>
      <c r="B841" s="1"/>
      <c r="C841" s="1"/>
      <c r="D841" s="1"/>
    </row>
    <row r="842" spans="1:4" ht="12.75" x14ac:dyDescent="0.2">
      <c r="A842" s="1"/>
      <c r="B842" s="1"/>
      <c r="C842" s="1"/>
      <c r="D842" s="1"/>
    </row>
    <row r="843" spans="1:4" ht="12.75" x14ac:dyDescent="0.2">
      <c r="A843" s="1"/>
      <c r="B843" s="1"/>
      <c r="C843" s="1"/>
      <c r="D843" s="1"/>
    </row>
    <row r="844" spans="1:4" ht="12.75" x14ac:dyDescent="0.2">
      <c r="A844" s="1"/>
      <c r="B844" s="1"/>
      <c r="C844" s="1"/>
      <c r="D844" s="1"/>
    </row>
    <row r="845" spans="1:4" ht="12.75" x14ac:dyDescent="0.2">
      <c r="A845" s="1"/>
      <c r="B845" s="1"/>
      <c r="C845" s="1"/>
      <c r="D845" s="1"/>
    </row>
    <row r="846" spans="1:4" ht="12.75" x14ac:dyDescent="0.2">
      <c r="A846" s="1"/>
      <c r="B846" s="1"/>
      <c r="C846" s="1"/>
      <c r="D846" s="1"/>
    </row>
    <row r="847" spans="1:4" ht="12.75" x14ac:dyDescent="0.2">
      <c r="A847" s="1"/>
      <c r="B847" s="1"/>
      <c r="C847" s="1"/>
      <c r="D847" s="1"/>
    </row>
    <row r="848" spans="1:4" ht="12.75" x14ac:dyDescent="0.2">
      <c r="A848" s="1"/>
      <c r="B848" s="1"/>
      <c r="C848" s="1"/>
      <c r="D848" s="1"/>
    </row>
    <row r="849" spans="1:4" ht="12.75" x14ac:dyDescent="0.2">
      <c r="A849" s="1"/>
      <c r="B849" s="1"/>
      <c r="C849" s="1"/>
      <c r="D849" s="1"/>
    </row>
    <row r="850" spans="1:4" ht="12.75" x14ac:dyDescent="0.2">
      <c r="A850" s="1"/>
      <c r="B850" s="1"/>
      <c r="C850" s="1"/>
      <c r="D850" s="1"/>
    </row>
    <row r="851" spans="1:4" ht="12.75" x14ac:dyDescent="0.2">
      <c r="A851" s="1"/>
      <c r="B851" s="1"/>
      <c r="C851" s="1"/>
      <c r="D851" s="1"/>
    </row>
    <row r="852" spans="1:4" ht="12.75" x14ac:dyDescent="0.2">
      <c r="A852" s="1"/>
      <c r="B852" s="1"/>
      <c r="C852" s="1"/>
      <c r="D852" s="1"/>
    </row>
    <row r="853" spans="1:4" ht="12.75" x14ac:dyDescent="0.2">
      <c r="A853" s="1"/>
      <c r="B853" s="1"/>
      <c r="C853" s="1"/>
      <c r="D853" s="1"/>
    </row>
    <row r="854" spans="1:4" ht="12.75" x14ac:dyDescent="0.2">
      <c r="A854" s="1"/>
      <c r="B854" s="1"/>
      <c r="C854" s="1"/>
      <c r="D854" s="1"/>
    </row>
    <row r="855" spans="1:4" ht="12.75" x14ac:dyDescent="0.2">
      <c r="A855" s="1"/>
      <c r="B855" s="1"/>
      <c r="C855" s="1"/>
      <c r="D855" s="1"/>
    </row>
    <row r="856" spans="1:4" ht="12.75" x14ac:dyDescent="0.2">
      <c r="A856" s="1"/>
      <c r="B856" s="1"/>
      <c r="C856" s="1"/>
      <c r="D856" s="1"/>
    </row>
    <row r="857" spans="1:4" ht="12.75" x14ac:dyDescent="0.2">
      <c r="A857" s="1"/>
      <c r="B857" s="1"/>
      <c r="C857" s="1"/>
      <c r="D857" s="1"/>
    </row>
    <row r="858" spans="1:4" ht="12.75" x14ac:dyDescent="0.2">
      <c r="A858" s="1"/>
      <c r="B858" s="1"/>
      <c r="C858" s="1"/>
      <c r="D858" s="1"/>
    </row>
    <row r="859" spans="1:4" ht="12.75" x14ac:dyDescent="0.2">
      <c r="A859" s="1"/>
      <c r="B859" s="1"/>
      <c r="C859" s="1"/>
      <c r="D859" s="1"/>
    </row>
    <row r="860" spans="1:4" ht="12.75" x14ac:dyDescent="0.2">
      <c r="A860" s="1"/>
      <c r="B860" s="1"/>
      <c r="C860" s="1"/>
      <c r="D860" s="1"/>
    </row>
    <row r="861" spans="1:4" ht="12.75" x14ac:dyDescent="0.2">
      <c r="A861" s="1"/>
      <c r="B861" s="1"/>
      <c r="C861" s="1"/>
      <c r="D861" s="1"/>
    </row>
    <row r="862" spans="1:4" ht="12.75" x14ac:dyDescent="0.2">
      <c r="A862" s="1"/>
      <c r="B862" s="1"/>
      <c r="C862" s="1"/>
      <c r="D862" s="1"/>
    </row>
    <row r="863" spans="1:4" ht="12.75" x14ac:dyDescent="0.2">
      <c r="A863" s="1"/>
      <c r="B863" s="1"/>
      <c r="C863" s="1"/>
      <c r="D863" s="1"/>
    </row>
    <row r="864" spans="1:4" ht="12.75" x14ac:dyDescent="0.2">
      <c r="A864" s="1"/>
      <c r="B864" s="1"/>
      <c r="C864" s="1"/>
      <c r="D864" s="1"/>
    </row>
    <row r="865" spans="1:4" ht="12.75" x14ac:dyDescent="0.2">
      <c r="A865" s="1"/>
      <c r="B865" s="1"/>
      <c r="C865" s="1"/>
      <c r="D865" s="1"/>
    </row>
    <row r="866" spans="1:4" ht="12.75" x14ac:dyDescent="0.2">
      <c r="A866" s="1"/>
      <c r="B866" s="1"/>
      <c r="C866" s="1"/>
      <c r="D866" s="1"/>
    </row>
    <row r="867" spans="1:4" ht="12.75" x14ac:dyDescent="0.2">
      <c r="A867" s="1"/>
      <c r="B867" s="1"/>
      <c r="C867" s="1"/>
      <c r="D867" s="1"/>
    </row>
    <row r="868" spans="1:4" ht="12.75" x14ac:dyDescent="0.2">
      <c r="A868" s="1"/>
      <c r="B868" s="1"/>
      <c r="C868" s="1"/>
      <c r="D868" s="1"/>
    </row>
    <row r="869" spans="1:4" ht="12.75" x14ac:dyDescent="0.2">
      <c r="A869" s="1"/>
      <c r="B869" s="1"/>
      <c r="C869" s="1"/>
      <c r="D869" s="1"/>
    </row>
    <row r="870" spans="1:4" ht="12.75" x14ac:dyDescent="0.2">
      <c r="A870" s="1"/>
      <c r="B870" s="1"/>
      <c r="C870" s="1"/>
      <c r="D870" s="1"/>
    </row>
    <row r="871" spans="1:4" ht="12.75" x14ac:dyDescent="0.2">
      <c r="A871" s="1"/>
      <c r="B871" s="1"/>
      <c r="C871" s="1"/>
      <c r="D871" s="1"/>
    </row>
    <row r="872" spans="1:4" ht="12.75" x14ac:dyDescent="0.2">
      <c r="A872" s="1"/>
      <c r="B872" s="1"/>
      <c r="C872" s="1"/>
      <c r="D872" s="1"/>
    </row>
    <row r="873" spans="1:4" ht="12.75" x14ac:dyDescent="0.2">
      <c r="A873" s="1"/>
      <c r="B873" s="1"/>
      <c r="C873" s="1"/>
      <c r="D873" s="1"/>
    </row>
    <row r="874" spans="1:4" ht="12.75" x14ac:dyDescent="0.2">
      <c r="A874" s="1"/>
      <c r="B874" s="1"/>
      <c r="C874" s="1"/>
      <c r="D874" s="1"/>
    </row>
    <row r="875" spans="1:4" ht="12.75" x14ac:dyDescent="0.2">
      <c r="A875" s="1"/>
      <c r="B875" s="1"/>
      <c r="C875" s="1"/>
      <c r="D875" s="1"/>
    </row>
    <row r="876" spans="1:4" ht="12.75" x14ac:dyDescent="0.2">
      <c r="A876" s="1"/>
      <c r="B876" s="1"/>
      <c r="C876" s="1"/>
      <c r="D876" s="1"/>
    </row>
    <row r="877" spans="1:4" ht="12.75" x14ac:dyDescent="0.2">
      <c r="A877" s="1"/>
      <c r="B877" s="1"/>
      <c r="C877" s="1"/>
      <c r="D877" s="1"/>
    </row>
    <row r="878" spans="1:4" ht="12.75" x14ac:dyDescent="0.2">
      <c r="A878" s="1"/>
      <c r="B878" s="1"/>
      <c r="C878" s="1"/>
      <c r="D878" s="1"/>
    </row>
    <row r="879" spans="1:4" ht="12.75" x14ac:dyDescent="0.2">
      <c r="A879" s="1"/>
      <c r="B879" s="1"/>
      <c r="C879" s="1"/>
      <c r="D879" s="1"/>
    </row>
    <row r="880" spans="1:4" ht="12.75" x14ac:dyDescent="0.2">
      <c r="A880" s="1"/>
      <c r="B880" s="1"/>
      <c r="C880" s="1"/>
      <c r="D880" s="1"/>
    </row>
    <row r="881" spans="1:4" ht="12.75" x14ac:dyDescent="0.2">
      <c r="A881" s="1"/>
      <c r="B881" s="1"/>
      <c r="C881" s="1"/>
      <c r="D881" s="1"/>
    </row>
    <row r="882" spans="1:4" ht="12.75" x14ac:dyDescent="0.2">
      <c r="A882" s="1"/>
      <c r="B882" s="1"/>
      <c r="C882" s="1"/>
      <c r="D882" s="1"/>
    </row>
    <row r="883" spans="1:4" ht="12.75" x14ac:dyDescent="0.2">
      <c r="A883" s="1"/>
      <c r="B883" s="1"/>
      <c r="C883" s="1"/>
      <c r="D883" s="1"/>
    </row>
    <row r="884" spans="1:4" ht="12.75" x14ac:dyDescent="0.2">
      <c r="A884" s="1"/>
      <c r="B884" s="1"/>
      <c r="C884" s="1"/>
      <c r="D884" s="1"/>
    </row>
    <row r="885" spans="1:4" ht="12.75" x14ac:dyDescent="0.2">
      <c r="A885" s="1"/>
      <c r="B885" s="1"/>
      <c r="C885" s="1"/>
      <c r="D885" s="1"/>
    </row>
    <row r="886" spans="1:4" ht="12.75" x14ac:dyDescent="0.2">
      <c r="A886" s="1"/>
      <c r="B886" s="1"/>
      <c r="C886" s="1"/>
      <c r="D886" s="1"/>
    </row>
    <row r="887" spans="1:4" ht="12.75" x14ac:dyDescent="0.2">
      <c r="A887" s="1"/>
      <c r="B887" s="1"/>
      <c r="C887" s="1"/>
      <c r="D887" s="1"/>
    </row>
    <row r="888" spans="1:4" ht="12.75" x14ac:dyDescent="0.2">
      <c r="A888" s="1"/>
      <c r="B888" s="1"/>
      <c r="C888" s="1"/>
      <c r="D888" s="1"/>
    </row>
    <row r="889" spans="1:4" ht="12.75" x14ac:dyDescent="0.2">
      <c r="A889" s="1"/>
      <c r="B889" s="1"/>
      <c r="C889" s="1"/>
      <c r="D889" s="1"/>
    </row>
    <row r="890" spans="1:4" ht="12.75" x14ac:dyDescent="0.2">
      <c r="A890" s="1"/>
      <c r="B890" s="1"/>
      <c r="C890" s="1"/>
      <c r="D890" s="1"/>
    </row>
    <row r="891" spans="1:4" ht="12.75" x14ac:dyDescent="0.2">
      <c r="A891" s="1"/>
      <c r="B891" s="1"/>
      <c r="C891" s="1"/>
      <c r="D891" s="1"/>
    </row>
    <row r="892" spans="1:4" ht="12.75" x14ac:dyDescent="0.2">
      <c r="A892" s="1"/>
      <c r="B892" s="1"/>
      <c r="C892" s="1"/>
      <c r="D892" s="1"/>
    </row>
    <row r="893" spans="1:4" ht="12.75" x14ac:dyDescent="0.2">
      <c r="A893" s="1"/>
      <c r="B893" s="1"/>
      <c r="C893" s="1"/>
      <c r="D893" s="1"/>
    </row>
    <row r="894" spans="1:4" ht="12.75" x14ac:dyDescent="0.2">
      <c r="A894" s="1"/>
      <c r="B894" s="1"/>
      <c r="C894" s="1"/>
      <c r="D894" s="1"/>
    </row>
    <row r="895" spans="1:4" ht="12.75" x14ac:dyDescent="0.2">
      <c r="A895" s="1"/>
      <c r="B895" s="1"/>
      <c r="C895" s="1"/>
      <c r="D895" s="1"/>
    </row>
    <row r="896" spans="1:4" ht="12.75" x14ac:dyDescent="0.2">
      <c r="A896" s="1"/>
      <c r="B896" s="1"/>
      <c r="C896" s="1"/>
      <c r="D896" s="1"/>
    </row>
    <row r="897" spans="1:4" ht="12.75" x14ac:dyDescent="0.2">
      <c r="A897" s="1"/>
      <c r="B897" s="1"/>
      <c r="C897" s="1"/>
      <c r="D897" s="1"/>
    </row>
    <row r="898" spans="1:4" ht="12.75" x14ac:dyDescent="0.2">
      <c r="A898" s="1"/>
      <c r="B898" s="1"/>
      <c r="C898" s="1"/>
      <c r="D898" s="1"/>
    </row>
    <row r="899" spans="1:4" ht="12.75" x14ac:dyDescent="0.2">
      <c r="A899" s="1"/>
      <c r="B899" s="1"/>
      <c r="C899" s="1"/>
      <c r="D899" s="1"/>
    </row>
    <row r="900" spans="1:4" ht="12.75" x14ac:dyDescent="0.2">
      <c r="A900" s="1"/>
      <c r="B900" s="1"/>
      <c r="C900" s="1"/>
      <c r="D900" s="1"/>
    </row>
    <row r="901" spans="1:4" ht="12.75" x14ac:dyDescent="0.2">
      <c r="A901" s="1"/>
      <c r="B901" s="1"/>
      <c r="C901" s="1"/>
      <c r="D901" s="1"/>
    </row>
    <row r="902" spans="1:4" ht="12.75" x14ac:dyDescent="0.2">
      <c r="A902" s="1"/>
      <c r="B902" s="1"/>
      <c r="C902" s="1"/>
      <c r="D902" s="1"/>
    </row>
    <row r="903" spans="1:4" ht="12.75" x14ac:dyDescent="0.2">
      <c r="A903" s="1"/>
      <c r="B903" s="1"/>
      <c r="C903" s="1"/>
      <c r="D903" s="1"/>
    </row>
    <row r="904" spans="1:4" ht="12.75" x14ac:dyDescent="0.2">
      <c r="A904" s="1"/>
      <c r="B904" s="1"/>
      <c r="C904" s="1"/>
      <c r="D904" s="1"/>
    </row>
    <row r="905" spans="1:4" ht="12.75" x14ac:dyDescent="0.2">
      <c r="A905" s="1"/>
      <c r="B905" s="1"/>
      <c r="C905" s="1"/>
      <c r="D905" s="1"/>
    </row>
    <row r="906" spans="1:4" ht="12.75" x14ac:dyDescent="0.2">
      <c r="A906" s="1"/>
      <c r="B906" s="1"/>
      <c r="C906" s="1"/>
      <c r="D906" s="1"/>
    </row>
    <row r="907" spans="1:4" ht="12.75" x14ac:dyDescent="0.2">
      <c r="A907" s="1"/>
      <c r="B907" s="1"/>
      <c r="C907" s="1"/>
      <c r="D907" s="1"/>
    </row>
    <row r="908" spans="1:4" ht="12.75" x14ac:dyDescent="0.2">
      <c r="A908" s="1"/>
      <c r="B908" s="1"/>
      <c r="C908" s="1"/>
      <c r="D908" s="1"/>
    </row>
    <row r="909" spans="1:4" ht="12.75" x14ac:dyDescent="0.2">
      <c r="A909" s="1"/>
      <c r="B909" s="1"/>
      <c r="C909" s="1"/>
      <c r="D909" s="1"/>
    </row>
    <row r="910" spans="1:4" ht="12.75" x14ac:dyDescent="0.2">
      <c r="A910" s="1"/>
      <c r="B910" s="1"/>
      <c r="C910" s="1"/>
      <c r="D910" s="1"/>
    </row>
    <row r="911" spans="1:4" ht="12.75" x14ac:dyDescent="0.2">
      <c r="A911" s="1"/>
      <c r="B911" s="1"/>
      <c r="C911" s="1"/>
      <c r="D911" s="1"/>
    </row>
    <row r="912" spans="1:4" ht="12.75" x14ac:dyDescent="0.2">
      <c r="A912" s="1"/>
      <c r="B912" s="1"/>
      <c r="C912" s="1"/>
      <c r="D912" s="1"/>
    </row>
    <row r="913" spans="1:4" ht="12.75" x14ac:dyDescent="0.2">
      <c r="A913" s="1"/>
      <c r="B913" s="1"/>
      <c r="C913" s="1"/>
      <c r="D913" s="1"/>
    </row>
    <row r="914" spans="1:4" ht="12.75" x14ac:dyDescent="0.2">
      <c r="A914" s="1"/>
      <c r="B914" s="1"/>
      <c r="C914" s="1"/>
      <c r="D914" s="1"/>
    </row>
    <row r="915" spans="1:4" ht="12.75" x14ac:dyDescent="0.2">
      <c r="A915" s="1"/>
      <c r="B915" s="1"/>
      <c r="C915" s="1"/>
      <c r="D915" s="1"/>
    </row>
    <row r="916" spans="1:4" ht="12.75" x14ac:dyDescent="0.2">
      <c r="A916" s="1"/>
      <c r="B916" s="1"/>
      <c r="C916" s="1"/>
      <c r="D916" s="1"/>
    </row>
    <row r="917" spans="1:4" ht="12.75" x14ac:dyDescent="0.2">
      <c r="A917" s="1"/>
      <c r="B917" s="1"/>
      <c r="C917" s="1"/>
      <c r="D917" s="1"/>
    </row>
    <row r="918" spans="1:4" ht="12.75" x14ac:dyDescent="0.2">
      <c r="A918" s="1"/>
      <c r="B918" s="1"/>
      <c r="C918" s="1"/>
      <c r="D918" s="1"/>
    </row>
    <row r="919" spans="1:4" ht="12.75" x14ac:dyDescent="0.2">
      <c r="A919" s="1"/>
      <c r="B919" s="1"/>
      <c r="C919" s="1"/>
      <c r="D919" s="1"/>
    </row>
    <row r="920" spans="1:4" ht="12.75" x14ac:dyDescent="0.2">
      <c r="A920" s="1"/>
      <c r="B920" s="1"/>
      <c r="C920" s="1"/>
      <c r="D920" s="1"/>
    </row>
    <row r="921" spans="1:4" ht="12.75" x14ac:dyDescent="0.2">
      <c r="A921" s="1"/>
      <c r="B921" s="1"/>
      <c r="C921" s="1"/>
      <c r="D921" s="1"/>
    </row>
    <row r="922" spans="1:4" ht="12.75" x14ac:dyDescent="0.2">
      <c r="A922" s="1"/>
      <c r="B922" s="1"/>
      <c r="C922" s="1"/>
      <c r="D922" s="1"/>
    </row>
    <row r="923" spans="1:4" ht="12.75" x14ac:dyDescent="0.2">
      <c r="A923" s="1"/>
      <c r="B923" s="1"/>
      <c r="C923" s="1"/>
      <c r="D923" s="1"/>
    </row>
    <row r="924" spans="1:4" ht="12.75" x14ac:dyDescent="0.2">
      <c r="A924" s="1"/>
      <c r="B924" s="1"/>
      <c r="C924" s="1"/>
      <c r="D924" s="1"/>
    </row>
    <row r="925" spans="1:4" ht="12.75" x14ac:dyDescent="0.2">
      <c r="A925" s="1"/>
      <c r="B925" s="1"/>
      <c r="C925" s="1"/>
      <c r="D925" s="1"/>
    </row>
    <row r="926" spans="1:4" ht="12.75" x14ac:dyDescent="0.2">
      <c r="A926" s="1"/>
      <c r="B926" s="1"/>
      <c r="C926" s="1"/>
      <c r="D926" s="1"/>
    </row>
    <row r="927" spans="1:4" ht="12.75" x14ac:dyDescent="0.2">
      <c r="A927" s="1"/>
      <c r="B927" s="1"/>
      <c r="C927" s="1"/>
      <c r="D927" s="1"/>
    </row>
    <row r="928" spans="1:4" ht="12.75" x14ac:dyDescent="0.2">
      <c r="A928" s="1"/>
      <c r="B928" s="1"/>
      <c r="C928" s="1"/>
      <c r="D928" s="1"/>
    </row>
    <row r="929" spans="1:4" ht="12.75" x14ac:dyDescent="0.2">
      <c r="A929" s="1"/>
      <c r="B929" s="1"/>
      <c r="C929" s="1"/>
      <c r="D929" s="1"/>
    </row>
    <row r="930" spans="1:4" ht="12.75" x14ac:dyDescent="0.2">
      <c r="A930" s="1"/>
      <c r="B930" s="1"/>
      <c r="C930" s="1"/>
      <c r="D930" s="1"/>
    </row>
    <row r="931" spans="1:4" ht="12.75" x14ac:dyDescent="0.2">
      <c r="A931" s="1"/>
      <c r="B931" s="1"/>
      <c r="C931" s="1"/>
      <c r="D931" s="1"/>
    </row>
    <row r="932" spans="1:4" ht="12.75" x14ac:dyDescent="0.2">
      <c r="A932" s="1"/>
      <c r="B932" s="1"/>
      <c r="C932" s="1"/>
      <c r="D932" s="1"/>
    </row>
    <row r="933" spans="1:4" ht="12.75" x14ac:dyDescent="0.2">
      <c r="A933" s="1"/>
      <c r="B933" s="1"/>
      <c r="C933" s="1"/>
      <c r="D933" s="1"/>
    </row>
    <row r="934" spans="1:4" ht="12.75" x14ac:dyDescent="0.2">
      <c r="A934" s="1"/>
      <c r="B934" s="1"/>
      <c r="C934" s="1"/>
      <c r="D934" s="1"/>
    </row>
    <row r="935" spans="1:4" ht="12.75" x14ac:dyDescent="0.2">
      <c r="A935" s="1"/>
      <c r="B935" s="1"/>
      <c r="C935" s="1"/>
      <c r="D935" s="1"/>
    </row>
    <row r="936" spans="1:4" ht="12.75" x14ac:dyDescent="0.2">
      <c r="A936" s="1"/>
      <c r="B936" s="1"/>
      <c r="C936" s="1"/>
      <c r="D936" s="1"/>
    </row>
    <row r="937" spans="1:4" ht="12.75" x14ac:dyDescent="0.2">
      <c r="A937" s="1"/>
      <c r="B937" s="1"/>
      <c r="C937" s="1"/>
      <c r="D937" s="1"/>
    </row>
    <row r="938" spans="1:4" ht="12.75" x14ac:dyDescent="0.2">
      <c r="A938" s="1"/>
      <c r="B938" s="1"/>
      <c r="C938" s="1"/>
      <c r="D938" s="1"/>
    </row>
    <row r="939" spans="1:4" ht="12.75" x14ac:dyDescent="0.2">
      <c r="A939" s="1"/>
      <c r="B939" s="1"/>
      <c r="C939" s="1"/>
      <c r="D939" s="1"/>
    </row>
    <row r="940" spans="1:4" ht="12.75" x14ac:dyDescent="0.2">
      <c r="A940" s="1"/>
      <c r="B940" s="1"/>
      <c r="C940" s="1"/>
      <c r="D940" s="1"/>
    </row>
    <row r="941" spans="1:4" ht="12.75" x14ac:dyDescent="0.2">
      <c r="A941" s="1"/>
      <c r="B941" s="1"/>
      <c r="C941" s="1"/>
      <c r="D941" s="1"/>
    </row>
    <row r="942" spans="1:4" ht="12.75" x14ac:dyDescent="0.2">
      <c r="A942" s="1"/>
      <c r="B942" s="1"/>
      <c r="C942" s="1"/>
      <c r="D942" s="1"/>
    </row>
    <row r="943" spans="1:4" ht="12.75" x14ac:dyDescent="0.2">
      <c r="A943" s="1"/>
      <c r="B943" s="1"/>
      <c r="C943" s="1"/>
      <c r="D943" s="1"/>
    </row>
    <row r="944" spans="1:4" ht="12.75" x14ac:dyDescent="0.2">
      <c r="A944" s="1"/>
      <c r="B944" s="1"/>
      <c r="C944" s="1"/>
      <c r="D944" s="1"/>
    </row>
    <row r="945" spans="1:4" ht="12.75" x14ac:dyDescent="0.2">
      <c r="A945" s="1"/>
      <c r="B945" s="1"/>
      <c r="C945" s="1"/>
      <c r="D945" s="1"/>
    </row>
    <row r="946" spans="1:4" ht="12.75" x14ac:dyDescent="0.2">
      <c r="A946" s="1"/>
      <c r="B946" s="1"/>
      <c r="C946" s="1"/>
      <c r="D946" s="1"/>
    </row>
    <row r="947" spans="1:4" ht="12.75" x14ac:dyDescent="0.2">
      <c r="A947" s="1"/>
      <c r="B947" s="1"/>
      <c r="C947" s="1"/>
      <c r="D947" s="1"/>
    </row>
    <row r="948" spans="1:4" ht="12.75" x14ac:dyDescent="0.2">
      <c r="A948" s="1"/>
      <c r="B948" s="1"/>
      <c r="C948" s="1"/>
      <c r="D948" s="1"/>
    </row>
    <row r="949" spans="1:4" ht="12.75" x14ac:dyDescent="0.2">
      <c r="A949" s="1"/>
      <c r="B949" s="1"/>
      <c r="C949" s="1"/>
      <c r="D949" s="1"/>
    </row>
    <row r="950" spans="1:4" ht="12.75" x14ac:dyDescent="0.2">
      <c r="A950" s="1"/>
      <c r="B950" s="1"/>
      <c r="C950" s="1"/>
      <c r="D950" s="1"/>
    </row>
    <row r="951" spans="1:4" ht="12.75" x14ac:dyDescent="0.2">
      <c r="A951" s="1"/>
      <c r="B951" s="1"/>
      <c r="C951" s="1"/>
      <c r="D951" s="1"/>
    </row>
    <row r="952" spans="1:4" ht="12.75" x14ac:dyDescent="0.2">
      <c r="A952" s="1"/>
      <c r="B952" s="1"/>
      <c r="C952" s="1"/>
      <c r="D952" s="1"/>
    </row>
    <row r="953" spans="1:4" ht="12.75" x14ac:dyDescent="0.2">
      <c r="A953" s="1"/>
      <c r="B953" s="1"/>
      <c r="C953" s="1"/>
      <c r="D953" s="1"/>
    </row>
    <row r="954" spans="1:4" ht="12.75" x14ac:dyDescent="0.2">
      <c r="A954" s="1"/>
      <c r="B954" s="1"/>
      <c r="C954" s="1"/>
      <c r="D954" s="1"/>
    </row>
    <row r="955" spans="1:4" ht="12.75" x14ac:dyDescent="0.2">
      <c r="A955" s="1"/>
      <c r="B955" s="1"/>
      <c r="C955" s="1"/>
      <c r="D955" s="1"/>
    </row>
    <row r="956" spans="1:4" ht="12.75" x14ac:dyDescent="0.2">
      <c r="A956" s="1"/>
      <c r="B956" s="1"/>
      <c r="C956" s="1"/>
      <c r="D956" s="1"/>
    </row>
    <row r="957" spans="1:4" ht="12.75" x14ac:dyDescent="0.2">
      <c r="A957" s="1"/>
      <c r="B957" s="1"/>
      <c r="C957" s="1"/>
      <c r="D957" s="1"/>
    </row>
    <row r="958" spans="1:4" ht="12.75" x14ac:dyDescent="0.2">
      <c r="A958" s="1"/>
      <c r="B958" s="1"/>
      <c r="C958" s="1"/>
      <c r="D958" s="1"/>
    </row>
    <row r="959" spans="1:4" ht="12.75" x14ac:dyDescent="0.2">
      <c r="A959" s="1"/>
      <c r="B959" s="1"/>
      <c r="C959" s="1"/>
      <c r="D959" s="1"/>
    </row>
    <row r="960" spans="1:4" ht="12.75" x14ac:dyDescent="0.2">
      <c r="A960" s="1"/>
      <c r="B960" s="1"/>
      <c r="C960" s="1"/>
      <c r="D960" s="1"/>
    </row>
    <row r="961" spans="1:4" ht="12.75" x14ac:dyDescent="0.2">
      <c r="A961" s="1"/>
      <c r="B961" s="1"/>
      <c r="C961" s="1"/>
      <c r="D961" s="1"/>
    </row>
    <row r="962" spans="1:4" ht="12.75" x14ac:dyDescent="0.2">
      <c r="A962" s="1"/>
      <c r="B962" s="1"/>
      <c r="C962" s="1"/>
      <c r="D962" s="1"/>
    </row>
    <row r="963" spans="1:4" ht="12.75" x14ac:dyDescent="0.2">
      <c r="A963" s="1"/>
      <c r="B963" s="1"/>
      <c r="C963" s="1"/>
      <c r="D963" s="1"/>
    </row>
    <row r="964" spans="1:4" ht="12.75" x14ac:dyDescent="0.2">
      <c r="A964" s="1"/>
      <c r="B964" s="1"/>
      <c r="C964" s="1"/>
      <c r="D964" s="1"/>
    </row>
    <row r="965" spans="1:4" ht="12.75" x14ac:dyDescent="0.2">
      <c r="A965" s="1"/>
      <c r="B965" s="1"/>
      <c r="C965" s="1"/>
      <c r="D965" s="1"/>
    </row>
    <row r="966" spans="1:4" ht="12.75" x14ac:dyDescent="0.2">
      <c r="A966" s="1"/>
      <c r="B966" s="1"/>
      <c r="C966" s="1"/>
      <c r="D966" s="1"/>
    </row>
    <row r="967" spans="1:4" ht="12.75" x14ac:dyDescent="0.2">
      <c r="A967" s="1"/>
      <c r="B967" s="1"/>
      <c r="C967" s="1"/>
      <c r="D967" s="1"/>
    </row>
    <row r="968" spans="1:4" ht="12.75" x14ac:dyDescent="0.2">
      <c r="A968" s="1"/>
      <c r="B968" s="1"/>
      <c r="C968" s="1"/>
      <c r="D968" s="1"/>
    </row>
    <row r="969" spans="1:4" ht="12.75" x14ac:dyDescent="0.2">
      <c r="A969" s="1"/>
      <c r="B969" s="1"/>
      <c r="C969" s="1"/>
      <c r="D969" s="1"/>
    </row>
    <row r="970" spans="1:4" ht="12.75" x14ac:dyDescent="0.2">
      <c r="A970" s="1"/>
      <c r="B970" s="1"/>
      <c r="C970" s="1"/>
      <c r="D970" s="1"/>
    </row>
    <row r="971" spans="1:4" ht="12.75" x14ac:dyDescent="0.2">
      <c r="A971" s="1"/>
      <c r="B971" s="1"/>
      <c r="C971" s="1"/>
      <c r="D971" s="1"/>
    </row>
    <row r="972" spans="1:4" ht="12.75" x14ac:dyDescent="0.2">
      <c r="A972" s="1"/>
      <c r="B972" s="1"/>
      <c r="C972" s="1"/>
      <c r="D972" s="1"/>
    </row>
    <row r="973" spans="1:4" ht="12.75" x14ac:dyDescent="0.2">
      <c r="A973" s="1"/>
      <c r="B973" s="1"/>
      <c r="C973" s="1"/>
      <c r="D973" s="1"/>
    </row>
    <row r="974" spans="1:4" ht="12.75" x14ac:dyDescent="0.2">
      <c r="A974" s="1"/>
      <c r="B974" s="1"/>
      <c r="C974" s="1"/>
      <c r="D974" s="1"/>
    </row>
    <row r="975" spans="1:4" ht="12.75" x14ac:dyDescent="0.2">
      <c r="A975" s="1"/>
      <c r="B975" s="1"/>
      <c r="C975" s="1"/>
      <c r="D975" s="1"/>
    </row>
    <row r="976" spans="1:4" ht="12.75" x14ac:dyDescent="0.2">
      <c r="A976" s="1"/>
      <c r="B976" s="1"/>
      <c r="C976" s="1"/>
      <c r="D976" s="1"/>
    </row>
    <row r="977" spans="1:4" ht="12.75" x14ac:dyDescent="0.2">
      <c r="A977" s="1"/>
      <c r="B977" s="1"/>
      <c r="C977" s="1"/>
      <c r="D977" s="1"/>
    </row>
    <row r="978" spans="1:4" ht="12.75" x14ac:dyDescent="0.2">
      <c r="A978" s="1"/>
      <c r="B978" s="1"/>
      <c r="C978" s="1"/>
      <c r="D978" s="1"/>
    </row>
    <row r="979" spans="1:4" ht="12.75" x14ac:dyDescent="0.2">
      <c r="A979" s="1"/>
      <c r="B979" s="1"/>
      <c r="C979" s="1"/>
      <c r="D979" s="1"/>
    </row>
    <row r="980" spans="1:4" ht="12.75" x14ac:dyDescent="0.2">
      <c r="A980" s="1"/>
      <c r="B980" s="1"/>
      <c r="C980" s="1"/>
      <c r="D980" s="1"/>
    </row>
    <row r="981" spans="1:4" ht="12.75" x14ac:dyDescent="0.2">
      <c r="A981" s="1"/>
      <c r="B981" s="1"/>
      <c r="C981" s="1"/>
      <c r="D981" s="1"/>
    </row>
    <row r="982" spans="1:4" ht="12.75" x14ac:dyDescent="0.2">
      <c r="A982" s="1"/>
      <c r="B982" s="1"/>
      <c r="C982" s="1"/>
      <c r="D982" s="1"/>
    </row>
    <row r="983" spans="1:4" ht="12.75" x14ac:dyDescent="0.2">
      <c r="A983" s="1"/>
      <c r="B983" s="1"/>
      <c r="C983" s="1"/>
      <c r="D983" s="1"/>
    </row>
    <row r="984" spans="1:4" ht="12.75" x14ac:dyDescent="0.2">
      <c r="A984" s="1"/>
      <c r="B984" s="1"/>
      <c r="C984" s="1"/>
      <c r="D984" s="1"/>
    </row>
    <row r="985" spans="1:4" ht="12.75" x14ac:dyDescent="0.2">
      <c r="A985" s="1"/>
      <c r="B985" s="1"/>
      <c r="C985" s="1"/>
      <c r="D985" s="1"/>
    </row>
    <row r="986" spans="1:4" ht="12.75" x14ac:dyDescent="0.2">
      <c r="A986" s="1"/>
      <c r="B986" s="1"/>
      <c r="C986" s="1"/>
      <c r="D986" s="1"/>
    </row>
    <row r="987" spans="1:4" ht="12.75" x14ac:dyDescent="0.2">
      <c r="A987" s="1"/>
      <c r="B987" s="1"/>
      <c r="C987" s="1"/>
      <c r="D987" s="1"/>
    </row>
    <row r="988" spans="1:4" ht="12.75" x14ac:dyDescent="0.2">
      <c r="A988" s="1"/>
      <c r="B988" s="1"/>
      <c r="C988" s="1"/>
      <c r="D988" s="1"/>
    </row>
    <row r="989" spans="1:4" ht="12.75" x14ac:dyDescent="0.2">
      <c r="A989" s="1"/>
      <c r="B989" s="1"/>
      <c r="C989" s="1"/>
      <c r="D98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H215"/>
  <sheetViews>
    <sheetView workbookViewId="0"/>
  </sheetViews>
  <sheetFormatPr defaultColWidth="12.5703125" defaultRowHeight="15.75" customHeight="1" x14ac:dyDescent="0.2"/>
  <cols>
    <col min="2" max="2" width="21.28515625" customWidth="1"/>
    <col min="21" max="21" width="16" customWidth="1"/>
    <col min="79" max="79" width="24.7109375" customWidth="1"/>
  </cols>
  <sheetData>
    <row r="1" spans="1:86" x14ac:dyDescent="0.2">
      <c r="A1" s="6" t="s">
        <v>105</v>
      </c>
      <c r="B1" s="6" t="s">
        <v>106</v>
      </c>
      <c r="C1" s="6" t="s">
        <v>107</v>
      </c>
      <c r="D1" s="6" t="s">
        <v>108</v>
      </c>
      <c r="E1" s="6" t="s">
        <v>109</v>
      </c>
      <c r="F1" s="6" t="s">
        <v>110</v>
      </c>
      <c r="G1" s="6" t="s">
        <v>111</v>
      </c>
      <c r="H1" s="6" t="s">
        <v>112</v>
      </c>
      <c r="I1" s="6" t="s">
        <v>113</v>
      </c>
      <c r="J1" s="6" t="s">
        <v>114</v>
      </c>
      <c r="K1" s="6" t="s">
        <v>115</v>
      </c>
      <c r="L1" s="6" t="s">
        <v>116</v>
      </c>
      <c r="M1" s="6" t="s">
        <v>117</v>
      </c>
      <c r="N1" s="6" t="s">
        <v>118</v>
      </c>
      <c r="O1" s="6" t="s">
        <v>119</v>
      </c>
      <c r="P1" s="6" t="s">
        <v>120</v>
      </c>
      <c r="Q1" s="6" t="s">
        <v>121</v>
      </c>
      <c r="R1" s="6" t="s">
        <v>122</v>
      </c>
      <c r="S1" s="6" t="s">
        <v>123</v>
      </c>
      <c r="T1" s="6" t="s">
        <v>124</v>
      </c>
      <c r="U1" s="6" t="s">
        <v>125</v>
      </c>
      <c r="V1" s="6" t="s">
        <v>126</v>
      </c>
      <c r="W1" s="6" t="s">
        <v>127</v>
      </c>
      <c r="X1" s="6" t="s">
        <v>128</v>
      </c>
      <c r="Y1" s="6" t="s">
        <v>129</v>
      </c>
      <c r="Z1" s="6" t="s">
        <v>130</v>
      </c>
      <c r="AA1" s="6" t="s">
        <v>131</v>
      </c>
      <c r="AB1" s="6" t="s">
        <v>132</v>
      </c>
      <c r="AC1" s="6" t="s">
        <v>133</v>
      </c>
      <c r="AD1" s="6" t="s">
        <v>134</v>
      </c>
      <c r="AE1" s="6" t="s">
        <v>135</v>
      </c>
      <c r="AF1" s="6" t="s">
        <v>136</v>
      </c>
      <c r="AG1" s="6" t="s">
        <v>137</v>
      </c>
      <c r="AH1" s="6" t="s">
        <v>138</v>
      </c>
      <c r="AI1" s="6" t="s">
        <v>139</v>
      </c>
      <c r="AJ1" s="6" t="s">
        <v>140</v>
      </c>
      <c r="AK1" s="6" t="s">
        <v>141</v>
      </c>
      <c r="AL1" s="6" t="s">
        <v>142</v>
      </c>
      <c r="AM1" s="6" t="s">
        <v>143</v>
      </c>
      <c r="AN1" s="6" t="s">
        <v>144</v>
      </c>
      <c r="AO1" s="6" t="s">
        <v>145</v>
      </c>
      <c r="AP1" s="6" t="s">
        <v>146</v>
      </c>
      <c r="AQ1" s="6" t="s">
        <v>147</v>
      </c>
      <c r="AR1" s="6" t="s">
        <v>148</v>
      </c>
      <c r="AS1" s="6" t="s">
        <v>149</v>
      </c>
      <c r="AT1" s="6" t="s">
        <v>150</v>
      </c>
      <c r="AU1" s="6" t="s">
        <v>151</v>
      </c>
      <c r="AV1" s="6" t="s">
        <v>152</v>
      </c>
      <c r="AW1" s="6" t="s">
        <v>153</v>
      </c>
      <c r="AX1" s="6" t="s">
        <v>154</v>
      </c>
      <c r="AY1" s="6" t="s">
        <v>155</v>
      </c>
      <c r="AZ1" s="6" t="s">
        <v>156</v>
      </c>
      <c r="BA1" s="6" t="s">
        <v>157</v>
      </c>
      <c r="BB1" s="6" t="s">
        <v>158</v>
      </c>
      <c r="BC1" s="6" t="s">
        <v>159</v>
      </c>
      <c r="BD1" s="6" t="s">
        <v>160</v>
      </c>
      <c r="BE1" s="6" t="s">
        <v>161</v>
      </c>
      <c r="BF1" s="6" t="s">
        <v>162</v>
      </c>
      <c r="BG1" s="6" t="s">
        <v>163</v>
      </c>
      <c r="BH1" s="6" t="s">
        <v>164</v>
      </c>
      <c r="BI1" s="6" t="s">
        <v>165</v>
      </c>
      <c r="BJ1" s="6" t="s">
        <v>166</v>
      </c>
      <c r="BK1" s="6" t="s">
        <v>167</v>
      </c>
      <c r="BL1" s="6" t="s">
        <v>168</v>
      </c>
      <c r="BM1" s="6" t="s">
        <v>169</v>
      </c>
      <c r="BN1" s="6" t="s">
        <v>170</v>
      </c>
      <c r="BO1" s="6" t="s">
        <v>171</v>
      </c>
      <c r="BP1" s="6" t="s">
        <v>172</v>
      </c>
      <c r="BQ1" s="6" t="s">
        <v>173</v>
      </c>
      <c r="BR1" s="6" t="s">
        <v>174</v>
      </c>
      <c r="BS1" s="6" t="s">
        <v>175</v>
      </c>
      <c r="BT1" s="6" t="s">
        <v>176</v>
      </c>
      <c r="BU1" s="6" t="s">
        <v>177</v>
      </c>
      <c r="BV1" s="6" t="s">
        <v>178</v>
      </c>
      <c r="BW1" s="6" t="s">
        <v>179</v>
      </c>
      <c r="BX1" s="6" t="s">
        <v>180</v>
      </c>
      <c r="BY1" s="6" t="s">
        <v>181</v>
      </c>
      <c r="BZ1" s="6" t="s">
        <v>182</v>
      </c>
      <c r="CA1" s="6" t="s">
        <v>183</v>
      </c>
      <c r="CB1" s="6" t="s">
        <v>184</v>
      </c>
      <c r="CC1" s="6" t="s">
        <v>185</v>
      </c>
      <c r="CD1" s="6" t="s">
        <v>186</v>
      </c>
      <c r="CE1" s="6" t="s">
        <v>187</v>
      </c>
      <c r="CF1" s="6" t="s">
        <v>188</v>
      </c>
      <c r="CG1" s="6" t="s">
        <v>189</v>
      </c>
      <c r="CH1" s="6" t="s">
        <v>190</v>
      </c>
    </row>
    <row r="2" spans="1:86" x14ac:dyDescent="0.2">
      <c r="A2" s="6" t="s">
        <v>191</v>
      </c>
      <c r="B2" s="24">
        <v>46168.235162037039</v>
      </c>
      <c r="C2" s="6" t="s">
        <v>192</v>
      </c>
      <c r="D2" s="6" t="s">
        <v>193</v>
      </c>
      <c r="E2" s="6">
        <v>12594</v>
      </c>
      <c r="F2" s="6">
        <v>56126.92</v>
      </c>
      <c r="G2" s="6">
        <v>13262</v>
      </c>
      <c r="H2" s="6">
        <v>646</v>
      </c>
      <c r="I2" s="6">
        <v>14.603</v>
      </c>
      <c r="J2" s="6">
        <v>4.4539999999999997</v>
      </c>
      <c r="K2" s="6" t="b">
        <v>1</v>
      </c>
      <c r="L2" s="6">
        <v>149</v>
      </c>
      <c r="M2" s="6">
        <v>119</v>
      </c>
      <c r="N2" s="6">
        <v>75.24521</v>
      </c>
      <c r="O2" s="6">
        <v>1921</v>
      </c>
      <c r="P2" s="6" t="b">
        <v>1</v>
      </c>
      <c r="Q2" s="6">
        <v>126</v>
      </c>
      <c r="R2" s="6">
        <v>153</v>
      </c>
      <c r="S2" s="6">
        <v>1594792</v>
      </c>
      <c r="T2" s="6">
        <v>67.105260000000001</v>
      </c>
      <c r="U2" s="6">
        <v>158</v>
      </c>
      <c r="V2" s="6"/>
      <c r="W2" s="6"/>
      <c r="X2" s="6">
        <v>4.4566400000000002</v>
      </c>
      <c r="Y2" s="6">
        <v>65.300039999999996</v>
      </c>
      <c r="Z2" s="6">
        <v>42.650737999999997</v>
      </c>
      <c r="AA2" s="6">
        <v>233</v>
      </c>
      <c r="AB2" s="6">
        <v>1.2142857</v>
      </c>
      <c r="AC2" s="6">
        <v>1.2857143</v>
      </c>
      <c r="AE2" s="6" t="b">
        <v>0</v>
      </c>
      <c r="AF2" s="6" t="b">
        <v>0</v>
      </c>
      <c r="AH2" s="6">
        <v>228</v>
      </c>
      <c r="AK2" s="6"/>
      <c r="AL2" s="6">
        <v>158</v>
      </c>
      <c r="AM2" s="6">
        <v>45</v>
      </c>
      <c r="AN2" s="6"/>
      <c r="AO2" s="6">
        <v>102</v>
      </c>
      <c r="AP2" s="6">
        <v>159</v>
      </c>
      <c r="AQ2" s="6">
        <v>127</v>
      </c>
      <c r="AR2" s="6">
        <v>142</v>
      </c>
      <c r="AS2" s="6">
        <v>148</v>
      </c>
      <c r="AT2" s="6">
        <v>158</v>
      </c>
      <c r="AU2" s="6">
        <v>162</v>
      </c>
      <c r="AV2" s="6">
        <v>167</v>
      </c>
      <c r="AW2" s="6">
        <v>175</v>
      </c>
      <c r="AX2" s="6">
        <v>10109</v>
      </c>
      <c r="AY2" s="6">
        <v>2344</v>
      </c>
      <c r="AZ2" s="6">
        <v>138</v>
      </c>
      <c r="BA2" s="6">
        <v>3</v>
      </c>
      <c r="BB2" s="6">
        <v>0</v>
      </c>
      <c r="BC2" s="6">
        <v>0</v>
      </c>
      <c r="BD2" s="6">
        <v>0</v>
      </c>
      <c r="BE2" s="6">
        <v>4590</v>
      </c>
      <c r="BF2" s="6">
        <v>5044</v>
      </c>
      <c r="BG2" s="6">
        <v>1698</v>
      </c>
      <c r="BH2" s="6">
        <v>732</v>
      </c>
      <c r="BI2" s="6">
        <v>357</v>
      </c>
      <c r="BJ2" s="6">
        <v>147</v>
      </c>
      <c r="BK2" s="6">
        <v>26</v>
      </c>
      <c r="BL2" s="6">
        <v>1023</v>
      </c>
      <c r="BM2" s="6">
        <v>95</v>
      </c>
      <c r="BN2" s="6" t="b">
        <v>0</v>
      </c>
      <c r="BO2" s="6" t="b">
        <v>0</v>
      </c>
      <c r="BP2" s="6" t="b">
        <v>0</v>
      </c>
      <c r="BQ2" s="6">
        <v>12651</v>
      </c>
      <c r="BR2" s="6">
        <v>1200</v>
      </c>
      <c r="BS2" s="6">
        <v>600</v>
      </c>
      <c r="BW2" s="6">
        <v>169</v>
      </c>
      <c r="BX2" s="6">
        <v>165</v>
      </c>
      <c r="BY2" s="6">
        <v>15050</v>
      </c>
      <c r="BZ2" s="6">
        <v>480</v>
      </c>
      <c r="CA2" s="6" t="s">
        <v>194</v>
      </c>
      <c r="CB2" s="6" t="s">
        <v>195</v>
      </c>
      <c r="CD2" s="6" t="s">
        <v>196</v>
      </c>
      <c r="CE2" s="6">
        <v>23020306780</v>
      </c>
      <c r="CF2" s="6">
        <v>107.48299400000001</v>
      </c>
    </row>
    <row r="3" spans="1:86" x14ac:dyDescent="0.2">
      <c r="A3" s="6" t="s">
        <v>197</v>
      </c>
      <c r="B3" s="24">
        <v>46167.254236111112</v>
      </c>
      <c r="C3" s="6" t="s">
        <v>198</v>
      </c>
      <c r="D3" s="6" t="s">
        <v>199</v>
      </c>
      <c r="E3" s="6">
        <v>3307</v>
      </c>
      <c r="F3" s="6">
        <v>7004.17</v>
      </c>
      <c r="G3" s="6">
        <v>3308</v>
      </c>
      <c r="H3" s="6">
        <v>50.886474999999997</v>
      </c>
      <c r="I3" s="6">
        <v>3.7040000000000002</v>
      </c>
      <c r="J3" s="6">
        <v>2.117</v>
      </c>
      <c r="K3" s="6" t="b">
        <v>1</v>
      </c>
      <c r="L3" s="6">
        <v>138</v>
      </c>
      <c r="M3" s="6">
        <v>122</v>
      </c>
      <c r="N3" s="6">
        <v>81.380170000000007</v>
      </c>
      <c r="O3" s="6">
        <v>579</v>
      </c>
      <c r="P3" s="6"/>
      <c r="Q3" s="6"/>
      <c r="R3" s="6"/>
      <c r="S3" s="6"/>
      <c r="T3" s="6">
        <v>77.37764</v>
      </c>
      <c r="U3" s="6">
        <v>55</v>
      </c>
      <c r="V3" s="6" t="b">
        <v>1</v>
      </c>
      <c r="W3" s="6">
        <v>2</v>
      </c>
      <c r="X3" s="6">
        <v>2.1179830000000002</v>
      </c>
      <c r="Y3" s="6">
        <v>51.064570000000003</v>
      </c>
      <c r="Z3" s="6">
        <v>39.871369999999999</v>
      </c>
      <c r="AA3" s="6">
        <v>309</v>
      </c>
      <c r="AB3" s="6"/>
      <c r="AC3" s="6"/>
      <c r="AD3" s="6"/>
      <c r="AE3" s="6" t="b">
        <v>0</v>
      </c>
      <c r="AF3" s="6" t="b">
        <v>0</v>
      </c>
      <c r="AH3" s="6">
        <v>310</v>
      </c>
      <c r="AK3" s="6">
        <v>2.7397260000000001</v>
      </c>
      <c r="AL3" s="6"/>
      <c r="AM3" s="6">
        <v>11</v>
      </c>
      <c r="AN3" s="6">
        <v>55</v>
      </c>
      <c r="AO3" s="6">
        <v>102</v>
      </c>
      <c r="AP3" s="6">
        <v>163</v>
      </c>
      <c r="AQ3" s="6">
        <v>137</v>
      </c>
      <c r="AR3" s="6">
        <v>145</v>
      </c>
      <c r="AS3" s="6">
        <v>153</v>
      </c>
      <c r="AT3" s="6">
        <v>162</v>
      </c>
      <c r="AU3" s="6">
        <v>166</v>
      </c>
      <c r="AV3" s="6">
        <v>171</v>
      </c>
      <c r="AW3" s="6">
        <v>175</v>
      </c>
      <c r="AX3" s="6">
        <v>3302</v>
      </c>
      <c r="AY3" s="6">
        <v>7</v>
      </c>
      <c r="AZ3" s="6">
        <v>0</v>
      </c>
      <c r="BA3" s="6">
        <v>0</v>
      </c>
      <c r="BB3" s="6">
        <v>0</v>
      </c>
      <c r="BC3" s="6">
        <v>0</v>
      </c>
      <c r="BD3" s="6">
        <v>0</v>
      </c>
      <c r="BE3" s="6"/>
      <c r="BF3" s="6"/>
      <c r="BG3" s="6"/>
      <c r="BH3" s="6"/>
      <c r="BI3" s="6"/>
      <c r="BJ3" s="6"/>
      <c r="BK3" s="6"/>
      <c r="BL3" s="6"/>
      <c r="BM3" s="6">
        <v>95</v>
      </c>
      <c r="BN3" s="6" t="b">
        <v>0</v>
      </c>
      <c r="BO3" s="6" t="b">
        <v>0</v>
      </c>
      <c r="BP3" s="6" t="b">
        <v>0</v>
      </c>
      <c r="BQ3" s="6">
        <v>3307</v>
      </c>
      <c r="BR3" s="6">
        <v>300</v>
      </c>
      <c r="BS3" s="6">
        <v>300</v>
      </c>
      <c r="BW3" s="6"/>
      <c r="BX3" s="6"/>
      <c r="BY3" s="6"/>
      <c r="BZ3" s="6"/>
      <c r="CA3" s="6" t="s">
        <v>200</v>
      </c>
      <c r="CB3" s="6" t="s">
        <v>201</v>
      </c>
      <c r="CD3" s="6" t="s">
        <v>196</v>
      </c>
      <c r="CE3" s="6">
        <v>23006935641</v>
      </c>
      <c r="CF3" s="6">
        <v>101.85185</v>
      </c>
    </row>
    <row r="4" spans="1:86" x14ac:dyDescent="0.2">
      <c r="A4" s="6" t="s">
        <v>202</v>
      </c>
      <c r="B4" s="24">
        <v>46165.20821759259</v>
      </c>
      <c r="C4" s="6" t="s">
        <v>203</v>
      </c>
      <c r="D4" s="6" t="s">
        <v>199</v>
      </c>
      <c r="E4" s="6">
        <v>5742</v>
      </c>
      <c r="F4" s="6">
        <v>11951.84</v>
      </c>
      <c r="G4" s="6">
        <v>5781</v>
      </c>
      <c r="H4" s="6">
        <v>56.853515999999999</v>
      </c>
      <c r="I4" s="6">
        <v>2.5009999999999999</v>
      </c>
      <c r="J4" s="6">
        <v>2.0739999999999998</v>
      </c>
      <c r="K4" s="6" t="b">
        <v>1</v>
      </c>
      <c r="L4" s="6">
        <v>137</v>
      </c>
      <c r="M4" s="6">
        <v>126</v>
      </c>
      <c r="N4" s="6">
        <v>81.320729999999998</v>
      </c>
      <c r="O4" s="6">
        <v>991</v>
      </c>
      <c r="P4" s="6"/>
      <c r="Q4" s="6"/>
      <c r="R4" s="6"/>
      <c r="S4" s="6"/>
      <c r="T4" s="6">
        <v>57.454661999999999</v>
      </c>
      <c r="U4" s="6">
        <v>53</v>
      </c>
      <c r="V4" s="6"/>
      <c r="W4" s="6">
        <v>3</v>
      </c>
      <c r="X4" s="6">
        <v>2.081477</v>
      </c>
      <c r="Y4" s="6">
        <v>58.209152000000003</v>
      </c>
      <c r="Z4" s="6">
        <v>40.458767000000002</v>
      </c>
      <c r="AA4" s="6">
        <v>309</v>
      </c>
      <c r="AB4" s="6"/>
      <c r="AC4" s="6"/>
      <c r="AD4" s="6"/>
      <c r="AE4" s="6" t="b">
        <v>0</v>
      </c>
      <c r="AF4" s="6" t="b">
        <v>0</v>
      </c>
      <c r="AH4" s="6">
        <v>310</v>
      </c>
      <c r="AK4" s="6">
        <v>2.7397260000000001</v>
      </c>
      <c r="AL4" s="6"/>
      <c r="AM4" s="6">
        <v>53</v>
      </c>
      <c r="AN4" s="6">
        <v>91</v>
      </c>
      <c r="AO4" s="6">
        <v>107</v>
      </c>
      <c r="AP4" s="6">
        <v>163</v>
      </c>
      <c r="AQ4" s="6">
        <v>137</v>
      </c>
      <c r="AR4" s="6">
        <v>145</v>
      </c>
      <c r="AS4" s="6">
        <v>153</v>
      </c>
      <c r="AT4" s="6">
        <v>162</v>
      </c>
      <c r="AU4" s="6">
        <v>166</v>
      </c>
      <c r="AV4" s="6">
        <v>171</v>
      </c>
      <c r="AW4" s="6">
        <v>175</v>
      </c>
      <c r="AX4" s="6">
        <v>5745</v>
      </c>
      <c r="AY4" s="6">
        <v>0</v>
      </c>
      <c r="AZ4" s="6">
        <v>0</v>
      </c>
      <c r="BA4" s="6">
        <v>0</v>
      </c>
      <c r="BB4" s="6">
        <v>0</v>
      </c>
      <c r="BC4" s="6">
        <v>0</v>
      </c>
      <c r="BD4" s="6">
        <v>0</v>
      </c>
      <c r="BE4" s="6"/>
      <c r="BF4" s="6"/>
      <c r="BG4" s="6"/>
      <c r="BH4" s="6"/>
      <c r="BI4" s="6"/>
      <c r="BJ4" s="6"/>
      <c r="BK4" s="6"/>
      <c r="BL4" s="6"/>
      <c r="BM4" s="6">
        <v>95</v>
      </c>
      <c r="BN4" s="6" t="b">
        <v>0</v>
      </c>
      <c r="BO4" s="6" t="b">
        <v>0</v>
      </c>
      <c r="BP4" s="6" t="b">
        <v>0</v>
      </c>
      <c r="BQ4" s="6">
        <v>5780</v>
      </c>
      <c r="BR4" s="6">
        <v>300</v>
      </c>
      <c r="BS4" s="6">
        <v>300</v>
      </c>
      <c r="BW4" s="6"/>
      <c r="BX4" s="6"/>
      <c r="BY4" s="6"/>
      <c r="BZ4" s="6"/>
      <c r="CA4" s="6" t="s">
        <v>204</v>
      </c>
      <c r="CB4" s="6" t="s">
        <v>205</v>
      </c>
      <c r="CD4" s="6" t="s">
        <v>196</v>
      </c>
      <c r="CE4" s="25">
        <v>22983024293</v>
      </c>
      <c r="CF4" s="6">
        <v>92.98245</v>
      </c>
    </row>
    <row r="5" spans="1:86" x14ac:dyDescent="0.2">
      <c r="A5" s="6" t="s">
        <v>206</v>
      </c>
      <c r="B5" s="24">
        <v>46164.248368055552</v>
      </c>
      <c r="C5" s="6" t="s">
        <v>207</v>
      </c>
      <c r="D5" s="6" t="s">
        <v>208</v>
      </c>
      <c r="E5" s="6">
        <v>4267</v>
      </c>
      <c r="F5" s="6">
        <v>28993.14</v>
      </c>
      <c r="G5" s="6">
        <v>4268</v>
      </c>
      <c r="H5" s="6">
        <v>369</v>
      </c>
      <c r="I5" s="6">
        <v>16.452000000000002</v>
      </c>
      <c r="J5" s="6">
        <v>6.7910000000000004</v>
      </c>
      <c r="K5" s="6" t="b">
        <v>1</v>
      </c>
      <c r="L5" s="6">
        <v>132</v>
      </c>
      <c r="M5" s="6">
        <v>119</v>
      </c>
      <c r="N5" s="6">
        <v>74.643230000000003</v>
      </c>
      <c r="O5" s="6">
        <v>633</v>
      </c>
      <c r="P5" s="6" t="b">
        <v>1</v>
      </c>
      <c r="Q5" s="6">
        <v>156</v>
      </c>
      <c r="R5" s="6">
        <v>160</v>
      </c>
      <c r="S5" s="6">
        <v>664079</v>
      </c>
      <c r="T5" s="6">
        <v>68.085105999999996</v>
      </c>
      <c r="U5" s="6">
        <v>55</v>
      </c>
      <c r="V5" s="6"/>
      <c r="X5" s="6">
        <v>6.7947363999999997</v>
      </c>
      <c r="Y5" s="6">
        <v>59.009093999999997</v>
      </c>
      <c r="Z5" s="6">
        <v>40.156579999999998</v>
      </c>
      <c r="AA5" s="6">
        <v>233</v>
      </c>
      <c r="AB5" s="6">
        <v>1.0256411000000001</v>
      </c>
      <c r="AC5" s="6">
        <v>1.3445379</v>
      </c>
      <c r="AD5" s="6" t="b">
        <v>1</v>
      </c>
      <c r="AE5" s="6" t="b">
        <v>0</v>
      </c>
      <c r="AF5" s="6" t="b">
        <v>0</v>
      </c>
      <c r="AH5" s="6">
        <v>235</v>
      </c>
      <c r="AK5" s="6"/>
      <c r="AL5" s="6">
        <v>55</v>
      </c>
      <c r="AM5" s="6">
        <v>38</v>
      </c>
      <c r="AN5" s="6"/>
      <c r="AO5" s="6">
        <v>63</v>
      </c>
      <c r="AP5" s="6">
        <v>159</v>
      </c>
      <c r="AQ5" s="6">
        <v>127</v>
      </c>
      <c r="AR5" s="6">
        <v>142</v>
      </c>
      <c r="AS5" s="6">
        <v>148</v>
      </c>
      <c r="AT5" s="6">
        <v>158</v>
      </c>
      <c r="AU5" s="6">
        <v>162</v>
      </c>
      <c r="AV5" s="6">
        <v>167</v>
      </c>
      <c r="AW5" s="6">
        <v>175</v>
      </c>
      <c r="AX5" s="6">
        <v>3650</v>
      </c>
      <c r="AY5" s="6">
        <v>617</v>
      </c>
      <c r="AZ5" s="6">
        <v>0</v>
      </c>
      <c r="BA5" s="6">
        <v>0</v>
      </c>
      <c r="BB5" s="6">
        <v>0</v>
      </c>
      <c r="BC5" s="6">
        <v>0</v>
      </c>
      <c r="BD5" s="6">
        <v>0</v>
      </c>
      <c r="BE5" s="6">
        <v>1120</v>
      </c>
      <c r="BF5" s="6">
        <v>3096</v>
      </c>
      <c r="BG5" s="6">
        <v>51</v>
      </c>
      <c r="BH5" s="6">
        <v>0</v>
      </c>
      <c r="BI5" s="6">
        <v>0</v>
      </c>
      <c r="BJ5" s="6">
        <v>0</v>
      </c>
      <c r="BK5" s="6">
        <v>0</v>
      </c>
      <c r="BL5" s="6">
        <v>1</v>
      </c>
      <c r="BM5" s="6">
        <v>95</v>
      </c>
      <c r="BN5" s="6" t="b">
        <v>0</v>
      </c>
      <c r="BO5" s="6" t="b">
        <v>0</v>
      </c>
      <c r="BP5" s="6" t="b">
        <v>0</v>
      </c>
      <c r="BQ5" s="6">
        <v>4267</v>
      </c>
      <c r="BR5" s="6">
        <v>1200</v>
      </c>
      <c r="BS5" s="6">
        <v>600</v>
      </c>
      <c r="BW5" s="6">
        <v>162</v>
      </c>
      <c r="BX5" s="6">
        <v>159</v>
      </c>
      <c r="BY5" s="6">
        <v>14096</v>
      </c>
      <c r="BZ5" s="6">
        <v>214</v>
      </c>
      <c r="CA5" s="6" t="s">
        <v>209</v>
      </c>
      <c r="CB5" s="6" t="s">
        <v>210</v>
      </c>
      <c r="CD5" s="6" t="s">
        <v>196</v>
      </c>
      <c r="CE5" s="25">
        <v>2.14364E+18</v>
      </c>
      <c r="CF5" s="6">
        <v>100</v>
      </c>
    </row>
    <row r="6" spans="1:86" x14ac:dyDescent="0.2">
      <c r="A6" s="6" t="s">
        <v>211</v>
      </c>
      <c r="B6" s="24">
        <v>46163.25476851852</v>
      </c>
      <c r="C6" s="6" t="s">
        <v>212</v>
      </c>
      <c r="D6" s="6" t="s">
        <v>199</v>
      </c>
      <c r="E6" s="6">
        <v>3300</v>
      </c>
      <c r="F6" s="6">
        <v>6938.74</v>
      </c>
      <c r="G6" s="6">
        <v>3309</v>
      </c>
      <c r="H6" s="6">
        <v>32.218505999999998</v>
      </c>
      <c r="I6" s="6">
        <v>2.5379999999999998</v>
      </c>
      <c r="J6" s="6">
        <v>2.1019999999999999</v>
      </c>
      <c r="K6" s="6" t="b">
        <v>1</v>
      </c>
      <c r="L6" s="6">
        <v>133</v>
      </c>
      <c r="M6" s="6">
        <v>122</v>
      </c>
      <c r="N6" s="6">
        <v>81.746290000000002</v>
      </c>
      <c r="O6" s="6">
        <v>588</v>
      </c>
      <c r="P6" s="6"/>
      <c r="Q6" s="6"/>
      <c r="R6" s="6"/>
      <c r="S6" s="6"/>
      <c r="T6" s="6">
        <v>75.946265999999994</v>
      </c>
      <c r="U6" s="6">
        <v>53</v>
      </c>
      <c r="V6" s="6" t="b">
        <v>1</v>
      </c>
      <c r="X6" s="6">
        <v>2.1026484999999999</v>
      </c>
      <c r="Y6" s="6">
        <v>59.624752000000001</v>
      </c>
      <c r="Z6" s="6">
        <v>39.798926999999999</v>
      </c>
      <c r="AA6" s="6">
        <v>309</v>
      </c>
      <c r="AB6" s="6"/>
      <c r="AC6" s="6"/>
      <c r="AD6" s="6"/>
      <c r="AE6" s="6" t="b">
        <v>0</v>
      </c>
      <c r="AF6" s="6" t="b">
        <v>0</v>
      </c>
      <c r="AH6" s="6">
        <v>310</v>
      </c>
      <c r="AK6" s="6">
        <v>2.7397260000000001</v>
      </c>
      <c r="AL6" s="6"/>
      <c r="AM6" s="6">
        <v>30</v>
      </c>
      <c r="AN6" s="6">
        <v>53</v>
      </c>
      <c r="AO6" s="6">
        <v>58</v>
      </c>
      <c r="AP6" s="6">
        <v>163</v>
      </c>
      <c r="AQ6" s="6">
        <v>137</v>
      </c>
      <c r="AR6" s="6">
        <v>145</v>
      </c>
      <c r="AS6" s="6">
        <v>153</v>
      </c>
      <c r="AT6" s="6">
        <v>162</v>
      </c>
      <c r="AU6" s="6">
        <v>166</v>
      </c>
      <c r="AV6" s="6">
        <v>171</v>
      </c>
      <c r="AW6" s="6">
        <v>175</v>
      </c>
      <c r="AX6" s="6">
        <v>3303</v>
      </c>
      <c r="AY6" s="6">
        <v>0</v>
      </c>
      <c r="AZ6" s="6">
        <v>0</v>
      </c>
      <c r="BA6" s="6">
        <v>0</v>
      </c>
      <c r="BB6" s="6">
        <v>0</v>
      </c>
      <c r="BC6" s="6">
        <v>0</v>
      </c>
      <c r="BD6" s="6">
        <v>0</v>
      </c>
      <c r="BE6" s="6"/>
      <c r="BF6" s="6"/>
      <c r="BG6" s="6"/>
      <c r="BH6" s="6"/>
      <c r="BI6" s="6"/>
      <c r="BJ6" s="6"/>
      <c r="BK6" s="6"/>
      <c r="BL6" s="6"/>
      <c r="BM6" s="6">
        <v>95</v>
      </c>
      <c r="BN6" s="6" t="b">
        <v>0</v>
      </c>
      <c r="BO6" s="6" t="b">
        <v>0</v>
      </c>
      <c r="BP6" s="6" t="b">
        <v>0</v>
      </c>
      <c r="BQ6" s="6">
        <v>3308</v>
      </c>
      <c r="BR6" s="6">
        <v>300</v>
      </c>
      <c r="BS6" s="6">
        <v>300</v>
      </c>
      <c r="BW6" s="6"/>
      <c r="BX6" s="6"/>
      <c r="BY6" s="6"/>
      <c r="BZ6" s="6"/>
      <c r="CA6" s="6" t="s">
        <v>213</v>
      </c>
      <c r="CB6" s="6" t="s">
        <v>214</v>
      </c>
      <c r="CD6" s="6" t="s">
        <v>196</v>
      </c>
      <c r="CE6" s="25">
        <v>22959739099</v>
      </c>
      <c r="CF6" s="6">
        <v>94.642859999999999</v>
      </c>
    </row>
    <row r="7" spans="1:86" x14ac:dyDescent="0.2">
      <c r="A7" s="6" t="s">
        <v>215</v>
      </c>
      <c r="B7" s="24">
        <v>46162.249456018515</v>
      </c>
      <c r="C7" s="6" t="s">
        <v>212</v>
      </c>
      <c r="D7" s="6" t="s">
        <v>208</v>
      </c>
      <c r="E7" s="6">
        <v>3615</v>
      </c>
      <c r="F7" s="6">
        <v>24082.36</v>
      </c>
      <c r="G7" s="6">
        <v>3615</v>
      </c>
      <c r="H7" s="6">
        <v>316</v>
      </c>
      <c r="I7" s="6">
        <v>15.895</v>
      </c>
      <c r="J7" s="6">
        <v>6.6589999999999998</v>
      </c>
      <c r="K7" s="6" t="b">
        <v>1</v>
      </c>
      <c r="L7" s="6">
        <v>137</v>
      </c>
      <c r="M7" s="6">
        <v>122</v>
      </c>
      <c r="N7" s="6">
        <v>77.070719999999994</v>
      </c>
      <c r="O7" s="6">
        <v>534</v>
      </c>
      <c r="P7" s="6" t="b">
        <v>1</v>
      </c>
      <c r="Q7" s="6">
        <v>155</v>
      </c>
      <c r="R7" s="6">
        <v>159</v>
      </c>
      <c r="S7" s="6">
        <v>559552</v>
      </c>
      <c r="T7" s="6">
        <v>67.659580000000005</v>
      </c>
      <c r="U7" s="6">
        <v>46</v>
      </c>
      <c r="V7" s="6"/>
      <c r="X7" s="6">
        <v>6.6617870000000003</v>
      </c>
      <c r="Y7" s="6">
        <v>60.642082000000002</v>
      </c>
      <c r="Z7" s="6">
        <v>39.480843</v>
      </c>
      <c r="AA7" s="6">
        <v>233</v>
      </c>
      <c r="AB7" s="6">
        <v>1.0258064</v>
      </c>
      <c r="AC7" s="6">
        <v>1.3032786999999999</v>
      </c>
      <c r="AD7" s="6" t="b">
        <v>1</v>
      </c>
      <c r="AE7" s="6" t="b">
        <v>0</v>
      </c>
      <c r="AF7" s="6" t="b">
        <v>0</v>
      </c>
      <c r="AH7" s="6">
        <v>235</v>
      </c>
      <c r="AK7" s="6"/>
      <c r="AL7" s="6">
        <v>46</v>
      </c>
      <c r="AM7" s="6">
        <v>36</v>
      </c>
      <c r="AN7" s="6"/>
      <c r="AO7" s="6">
        <v>55</v>
      </c>
      <c r="AP7" s="6">
        <v>159</v>
      </c>
      <c r="AQ7" s="6">
        <v>127</v>
      </c>
      <c r="AR7" s="6">
        <v>142</v>
      </c>
      <c r="AS7" s="6">
        <v>148</v>
      </c>
      <c r="AT7" s="6">
        <v>158</v>
      </c>
      <c r="AU7" s="6">
        <v>162</v>
      </c>
      <c r="AV7" s="6">
        <v>167</v>
      </c>
      <c r="AW7" s="6">
        <v>175</v>
      </c>
      <c r="AX7" s="6">
        <v>2767</v>
      </c>
      <c r="AY7" s="6">
        <v>849</v>
      </c>
      <c r="AZ7" s="6">
        <v>0</v>
      </c>
      <c r="BA7" s="6">
        <v>0</v>
      </c>
      <c r="BB7" s="6">
        <v>0</v>
      </c>
      <c r="BC7" s="6">
        <v>0</v>
      </c>
      <c r="BD7" s="6">
        <v>0</v>
      </c>
      <c r="BE7" s="6">
        <v>553</v>
      </c>
      <c r="BF7" s="6">
        <v>2635</v>
      </c>
      <c r="BG7" s="6">
        <v>371</v>
      </c>
      <c r="BH7" s="6">
        <v>57</v>
      </c>
      <c r="BI7" s="6">
        <v>0</v>
      </c>
      <c r="BJ7" s="6">
        <v>0</v>
      </c>
      <c r="BK7" s="6">
        <v>0</v>
      </c>
      <c r="BL7" s="6">
        <v>66</v>
      </c>
      <c r="BM7" s="6">
        <v>95</v>
      </c>
      <c r="BN7" s="6" t="b">
        <v>0</v>
      </c>
      <c r="BO7" s="6" t="b">
        <v>0</v>
      </c>
      <c r="BP7" s="6" t="b">
        <v>0</v>
      </c>
      <c r="BQ7" s="6">
        <v>3614</v>
      </c>
      <c r="BR7" s="6">
        <v>1200</v>
      </c>
      <c r="BS7" s="6">
        <v>600</v>
      </c>
      <c r="BW7" s="6">
        <v>158</v>
      </c>
      <c r="BX7" s="6">
        <v>155</v>
      </c>
      <c r="BY7" s="6">
        <v>13008</v>
      </c>
      <c r="BZ7" s="6">
        <v>230</v>
      </c>
      <c r="CA7" s="6" t="s">
        <v>216</v>
      </c>
      <c r="CB7" s="6" t="s">
        <v>217</v>
      </c>
      <c r="CD7" s="6" t="s">
        <v>196</v>
      </c>
      <c r="CE7" s="25">
        <v>2.1422E+18</v>
      </c>
      <c r="CF7" s="6">
        <v>100</v>
      </c>
    </row>
    <row r="8" spans="1:86" x14ac:dyDescent="0.2">
      <c r="A8" s="6" t="s">
        <v>218</v>
      </c>
      <c r="B8" s="24">
        <v>46161.250335648147</v>
      </c>
      <c r="C8" s="6" t="s">
        <v>219</v>
      </c>
      <c r="D8" s="6" t="s">
        <v>220</v>
      </c>
      <c r="E8" s="6">
        <v>9990</v>
      </c>
      <c r="F8" s="6">
        <v>66760.240000000005</v>
      </c>
      <c r="G8" s="6">
        <v>10071</v>
      </c>
      <c r="H8" s="6">
        <v>641</v>
      </c>
      <c r="I8" s="6">
        <v>16.757999999999999</v>
      </c>
      <c r="J8" s="6">
        <v>6.6820000000000004</v>
      </c>
      <c r="K8" s="6" t="b">
        <v>1</v>
      </c>
      <c r="L8" s="6">
        <v>140</v>
      </c>
      <c r="M8" s="6">
        <v>125</v>
      </c>
      <c r="N8" s="6">
        <v>83.601616000000007</v>
      </c>
      <c r="O8" s="6">
        <v>1766</v>
      </c>
      <c r="P8" s="6" t="b">
        <v>1</v>
      </c>
      <c r="Q8" s="6">
        <v>151</v>
      </c>
      <c r="R8" s="6">
        <v>164</v>
      </c>
      <c r="S8" s="6">
        <v>1508165</v>
      </c>
      <c r="T8" s="6">
        <v>71.929824999999994</v>
      </c>
      <c r="U8" s="6">
        <v>144</v>
      </c>
      <c r="V8" s="6"/>
      <c r="W8" s="6"/>
      <c r="X8" s="6">
        <v>6.6827069999999997</v>
      </c>
      <c r="Y8" s="6">
        <v>62.890594</v>
      </c>
      <c r="Z8" s="6">
        <v>39.32376</v>
      </c>
      <c r="AA8" s="6">
        <v>233</v>
      </c>
      <c r="AB8" s="6">
        <v>1.0860927</v>
      </c>
      <c r="AC8" s="6">
        <v>1.3120000000000001</v>
      </c>
      <c r="AE8" s="6" t="b">
        <v>0</v>
      </c>
      <c r="AF8" s="6" t="b">
        <v>0</v>
      </c>
      <c r="AH8" s="6">
        <v>228</v>
      </c>
      <c r="AK8" s="6"/>
      <c r="AL8" s="6">
        <v>144</v>
      </c>
      <c r="AM8" s="6">
        <v>110</v>
      </c>
      <c r="AN8" s="6"/>
      <c r="AO8" s="6">
        <v>55</v>
      </c>
      <c r="AP8" s="6">
        <v>159</v>
      </c>
      <c r="AQ8" s="6">
        <v>127</v>
      </c>
      <c r="AR8" s="6">
        <v>142</v>
      </c>
      <c r="AS8" s="6">
        <v>148</v>
      </c>
      <c r="AT8" s="6">
        <v>158</v>
      </c>
      <c r="AU8" s="6">
        <v>162</v>
      </c>
      <c r="AV8" s="6">
        <v>167</v>
      </c>
      <c r="AW8" s="6">
        <v>175</v>
      </c>
      <c r="AX8" s="6">
        <v>5200</v>
      </c>
      <c r="AY8" s="6">
        <v>4790</v>
      </c>
      <c r="AZ8" s="6">
        <v>0</v>
      </c>
      <c r="BA8" s="6">
        <v>0</v>
      </c>
      <c r="BB8" s="6">
        <v>0</v>
      </c>
      <c r="BC8" s="6">
        <v>0</v>
      </c>
      <c r="BD8" s="6">
        <v>0</v>
      </c>
      <c r="BE8" s="6">
        <v>1547</v>
      </c>
      <c r="BF8" s="6">
        <v>4556</v>
      </c>
      <c r="BG8" s="6">
        <v>3401</v>
      </c>
      <c r="BH8" s="6">
        <v>420</v>
      </c>
      <c r="BI8" s="6">
        <v>60</v>
      </c>
      <c r="BJ8" s="6">
        <v>6</v>
      </c>
      <c r="BK8" s="6">
        <v>0</v>
      </c>
      <c r="BL8" s="6">
        <v>1352</v>
      </c>
      <c r="BM8" s="6">
        <v>95</v>
      </c>
      <c r="BN8" s="6" t="b">
        <v>0</v>
      </c>
      <c r="BO8" s="6" t="b">
        <v>0</v>
      </c>
      <c r="BP8" s="6" t="b">
        <v>0</v>
      </c>
      <c r="BQ8" s="6">
        <v>10014</v>
      </c>
      <c r="BR8" s="6">
        <v>1200</v>
      </c>
      <c r="BS8" s="6">
        <v>600</v>
      </c>
      <c r="BW8" s="6">
        <v>173</v>
      </c>
      <c r="BX8" s="6">
        <v>169</v>
      </c>
      <c r="BY8" s="6">
        <v>14746</v>
      </c>
      <c r="BZ8" s="6">
        <v>444</v>
      </c>
      <c r="CA8" s="6" t="s">
        <v>221</v>
      </c>
      <c r="CB8" s="6" t="s">
        <v>222</v>
      </c>
      <c r="CD8" s="6" t="s">
        <v>196</v>
      </c>
      <c r="CE8" s="6">
        <v>22936479121</v>
      </c>
      <c r="CF8" s="6">
        <v>109.92367</v>
      </c>
    </row>
    <row r="9" spans="1:86" x14ac:dyDescent="0.2">
      <c r="A9" s="6" t="s">
        <v>223</v>
      </c>
      <c r="B9" s="24">
        <v>46160.370289351849</v>
      </c>
      <c r="C9" s="6" t="s">
        <v>224</v>
      </c>
      <c r="D9" s="6" t="s">
        <v>199</v>
      </c>
      <c r="E9" s="6">
        <v>3899</v>
      </c>
      <c r="F9" s="6">
        <v>7830</v>
      </c>
      <c r="G9" s="6">
        <v>3900</v>
      </c>
      <c r="H9" s="6">
        <v>83.479489999999998</v>
      </c>
      <c r="I9" s="6">
        <v>2.37</v>
      </c>
      <c r="J9" s="6">
        <v>2.008</v>
      </c>
      <c r="K9" s="6" t="b">
        <v>1</v>
      </c>
      <c r="L9" s="6">
        <v>135</v>
      </c>
      <c r="M9" s="6">
        <v>123</v>
      </c>
      <c r="N9" s="6">
        <v>80.085620000000006</v>
      </c>
      <c r="O9" s="6">
        <v>664</v>
      </c>
      <c r="P9" s="6"/>
      <c r="Q9" s="6"/>
      <c r="R9" s="6"/>
      <c r="S9" s="6"/>
      <c r="T9" s="6">
        <v>73.807525999999996</v>
      </c>
      <c r="U9" s="6">
        <v>59</v>
      </c>
      <c r="V9" s="6" t="b">
        <v>1</v>
      </c>
      <c r="W9" s="6"/>
      <c r="X9" s="6">
        <v>2.0082073</v>
      </c>
      <c r="Y9" s="6">
        <v>50.435028000000003</v>
      </c>
      <c r="Z9" s="6">
        <v>36.801563000000002</v>
      </c>
      <c r="AA9" s="6">
        <v>309</v>
      </c>
      <c r="AB9" s="6"/>
      <c r="AC9" s="6"/>
      <c r="AD9" s="6"/>
      <c r="AE9" s="6" t="b">
        <v>0</v>
      </c>
      <c r="AF9" s="6" t="b">
        <v>0</v>
      </c>
      <c r="AH9" s="6">
        <v>310</v>
      </c>
      <c r="AK9" s="6">
        <v>2.7397260000000001</v>
      </c>
      <c r="AL9" s="6"/>
      <c r="AM9" s="6">
        <v>4</v>
      </c>
      <c r="AN9" s="6">
        <v>59</v>
      </c>
      <c r="AO9" s="6">
        <v>55</v>
      </c>
      <c r="AP9" s="6">
        <v>163</v>
      </c>
      <c r="AQ9" s="6">
        <v>137</v>
      </c>
      <c r="AR9" s="6">
        <v>145</v>
      </c>
      <c r="AS9" s="6">
        <v>153</v>
      </c>
      <c r="AT9" s="6">
        <v>162</v>
      </c>
      <c r="AU9" s="6">
        <v>166</v>
      </c>
      <c r="AV9" s="6">
        <v>171</v>
      </c>
      <c r="AW9" s="6">
        <v>175</v>
      </c>
      <c r="AX9" s="6">
        <v>3901</v>
      </c>
      <c r="AY9" s="6">
        <v>0</v>
      </c>
      <c r="AZ9" s="6">
        <v>0</v>
      </c>
      <c r="BA9" s="6">
        <v>0</v>
      </c>
      <c r="BB9" s="6">
        <v>0</v>
      </c>
      <c r="BC9" s="6">
        <v>0</v>
      </c>
      <c r="BD9" s="6">
        <v>0</v>
      </c>
      <c r="BE9" s="6"/>
      <c r="BF9" s="6"/>
      <c r="BG9" s="6"/>
      <c r="BH9" s="6"/>
      <c r="BI9" s="6"/>
      <c r="BJ9" s="6"/>
      <c r="BK9" s="6"/>
      <c r="BL9" s="6"/>
      <c r="BM9" s="6">
        <v>95</v>
      </c>
      <c r="BN9" s="6" t="b">
        <v>0</v>
      </c>
      <c r="BO9" s="6" t="b">
        <v>0</v>
      </c>
      <c r="BP9" s="6" t="b">
        <v>0</v>
      </c>
      <c r="BQ9" s="6">
        <v>3899</v>
      </c>
      <c r="BR9" s="6">
        <v>300</v>
      </c>
      <c r="BS9" s="6">
        <v>300</v>
      </c>
      <c r="BW9" s="6"/>
      <c r="BX9" s="6"/>
      <c r="BY9" s="6"/>
      <c r="BZ9" s="6"/>
      <c r="CA9" s="6" t="s">
        <v>225</v>
      </c>
      <c r="CB9" s="6" t="s">
        <v>226</v>
      </c>
      <c r="CD9" s="6" t="s">
        <v>196</v>
      </c>
      <c r="CE9" s="6">
        <v>22925284636</v>
      </c>
      <c r="CF9" s="6">
        <v>98.333336000000003</v>
      </c>
    </row>
    <row r="10" spans="1:86" x14ac:dyDescent="0.2">
      <c r="A10" s="6" t="s">
        <v>227</v>
      </c>
      <c r="B10" s="24">
        <v>46158.237557870372</v>
      </c>
      <c r="C10" s="6" t="s">
        <v>228</v>
      </c>
      <c r="D10" s="6" t="s">
        <v>82</v>
      </c>
      <c r="E10" s="6">
        <v>5866</v>
      </c>
      <c r="F10" s="6">
        <v>12085.01</v>
      </c>
      <c r="G10" s="6">
        <v>5866</v>
      </c>
      <c r="H10" s="6">
        <v>246.71825999999999</v>
      </c>
      <c r="I10" s="6">
        <v>2.8740000000000001</v>
      </c>
      <c r="J10" s="6">
        <v>2.06</v>
      </c>
      <c r="K10" s="6" t="b">
        <v>1</v>
      </c>
      <c r="L10" s="6">
        <v>151</v>
      </c>
      <c r="M10" s="6">
        <v>140</v>
      </c>
      <c r="N10" s="6">
        <v>81.393860000000004</v>
      </c>
      <c r="O10" s="6">
        <v>1122</v>
      </c>
      <c r="P10" s="6" t="b">
        <v>1</v>
      </c>
      <c r="Q10" s="6">
        <v>302</v>
      </c>
      <c r="R10" s="6">
        <v>309</v>
      </c>
      <c r="S10" s="6">
        <v>1769155</v>
      </c>
      <c r="T10" s="6">
        <v>99.677419999999998</v>
      </c>
      <c r="U10" s="6">
        <v>78</v>
      </c>
      <c r="W10" s="6">
        <v>3</v>
      </c>
      <c r="X10" s="6">
        <v>2.0601790000000002</v>
      </c>
      <c r="Y10" s="6">
        <v>56.662823000000003</v>
      </c>
      <c r="Z10" s="6">
        <v>37.140540000000001</v>
      </c>
      <c r="AA10" s="6">
        <v>309</v>
      </c>
      <c r="AB10" s="6">
        <v>1.0231787999999999</v>
      </c>
      <c r="AC10" s="6">
        <v>2.2071428000000002</v>
      </c>
      <c r="AD10" s="6"/>
      <c r="AE10" s="6" t="b">
        <v>0</v>
      </c>
      <c r="AF10" s="6" t="b">
        <v>0</v>
      </c>
      <c r="AH10" s="6">
        <v>310</v>
      </c>
      <c r="AK10" s="6">
        <v>2.7397260000000001</v>
      </c>
      <c r="AL10" s="6">
        <v>162</v>
      </c>
      <c r="AM10" s="6">
        <v>78</v>
      </c>
      <c r="AN10" s="6">
        <v>103</v>
      </c>
      <c r="AO10" s="6">
        <v>118</v>
      </c>
      <c r="AP10" s="6">
        <v>163</v>
      </c>
      <c r="AQ10" s="6">
        <v>137</v>
      </c>
      <c r="AR10" s="6">
        <v>145</v>
      </c>
      <c r="AS10" s="6">
        <v>153</v>
      </c>
      <c r="AT10" s="6">
        <v>162</v>
      </c>
      <c r="AU10" s="6">
        <v>166</v>
      </c>
      <c r="AV10" s="6">
        <v>171</v>
      </c>
      <c r="AW10" s="6">
        <v>175</v>
      </c>
      <c r="AX10" s="6">
        <v>1388</v>
      </c>
      <c r="AY10" s="6">
        <v>3609</v>
      </c>
      <c r="AZ10" s="6">
        <v>870</v>
      </c>
      <c r="BA10" s="6">
        <v>0</v>
      </c>
      <c r="BB10" s="6">
        <v>0</v>
      </c>
      <c r="BC10" s="6">
        <v>0</v>
      </c>
      <c r="BD10" s="6">
        <v>0</v>
      </c>
      <c r="BE10" s="6">
        <v>38</v>
      </c>
      <c r="BF10" s="6">
        <v>402</v>
      </c>
      <c r="BG10" s="6">
        <v>1212</v>
      </c>
      <c r="BH10" s="6">
        <v>2554</v>
      </c>
      <c r="BI10" s="6">
        <v>1373</v>
      </c>
      <c r="BJ10" s="6">
        <v>288</v>
      </c>
      <c r="BK10" s="6">
        <v>0</v>
      </c>
      <c r="BL10" s="6">
        <v>1860</v>
      </c>
      <c r="BM10" s="6">
        <v>95</v>
      </c>
      <c r="BN10" s="6" t="b">
        <v>0</v>
      </c>
      <c r="BO10" s="6" t="b">
        <v>0</v>
      </c>
      <c r="BP10" s="6" t="b">
        <v>0</v>
      </c>
      <c r="BQ10" s="6">
        <v>5865</v>
      </c>
      <c r="BR10" s="6">
        <v>300</v>
      </c>
      <c r="BS10" s="6">
        <v>300</v>
      </c>
      <c r="BW10" s="6">
        <v>309</v>
      </c>
      <c r="BX10" s="6">
        <v>303</v>
      </c>
      <c r="BY10" s="6">
        <v>25245</v>
      </c>
      <c r="BZ10" s="6">
        <v>425</v>
      </c>
      <c r="CA10" s="6" t="s">
        <v>229</v>
      </c>
      <c r="CB10" s="6" t="s">
        <v>230</v>
      </c>
      <c r="CD10" s="6" t="s">
        <v>196</v>
      </c>
      <c r="CE10" s="25">
        <v>22901230304</v>
      </c>
      <c r="CF10" s="6">
        <v>111.42856999999999</v>
      </c>
    </row>
    <row r="11" spans="1:86" x14ac:dyDescent="0.2">
      <c r="A11" s="6" t="s">
        <v>231</v>
      </c>
      <c r="B11" s="24">
        <v>46157.003321759257</v>
      </c>
      <c r="C11" s="6" t="s">
        <v>232</v>
      </c>
      <c r="D11" s="6" t="s">
        <v>208</v>
      </c>
      <c r="E11" s="6">
        <v>3631</v>
      </c>
      <c r="F11" s="6">
        <v>28554.78</v>
      </c>
      <c r="G11" s="6">
        <v>3633</v>
      </c>
      <c r="H11" s="6">
        <v>156</v>
      </c>
      <c r="I11" s="6">
        <v>13.484999999999999</v>
      </c>
      <c r="J11" s="6">
        <v>7.8570000000000002</v>
      </c>
      <c r="K11" s="6" t="b">
        <v>1</v>
      </c>
      <c r="L11" s="6">
        <v>139</v>
      </c>
      <c r="M11" s="6">
        <v>122</v>
      </c>
      <c r="N11" s="6">
        <v>72.448490000000007</v>
      </c>
      <c r="O11" s="6">
        <v>510</v>
      </c>
      <c r="P11" s="6" t="b">
        <v>1</v>
      </c>
      <c r="Q11" s="6">
        <v>147</v>
      </c>
      <c r="R11" s="6">
        <v>153</v>
      </c>
      <c r="S11" s="6">
        <v>534269</v>
      </c>
      <c r="T11" s="6">
        <v>65.106384000000006</v>
      </c>
      <c r="U11" s="6">
        <v>43</v>
      </c>
      <c r="W11" s="6"/>
      <c r="X11" s="6">
        <v>7.8641639999999997</v>
      </c>
      <c r="Y11" s="6">
        <v>53.386177000000004</v>
      </c>
      <c r="Z11" s="6">
        <v>36.156019999999998</v>
      </c>
      <c r="AA11" s="6">
        <v>233</v>
      </c>
      <c r="AB11" s="6">
        <v>1.0408162999999999</v>
      </c>
      <c r="AC11" s="6">
        <v>1.2540983999999999</v>
      </c>
      <c r="AD11" s="6" t="b">
        <v>1</v>
      </c>
      <c r="AE11" s="6" t="b">
        <v>0</v>
      </c>
      <c r="AF11" s="6" t="b">
        <v>0</v>
      </c>
      <c r="AH11" s="6">
        <v>235</v>
      </c>
      <c r="AK11" s="6"/>
      <c r="AL11" s="6">
        <v>43</v>
      </c>
      <c r="AM11" s="6">
        <v>31</v>
      </c>
      <c r="AN11" s="6"/>
      <c r="AO11" s="6">
        <v>76</v>
      </c>
      <c r="AP11" s="6">
        <v>159</v>
      </c>
      <c r="AQ11" s="6">
        <v>127</v>
      </c>
      <c r="AR11" s="6">
        <v>142</v>
      </c>
      <c r="AS11" s="6">
        <v>148</v>
      </c>
      <c r="AT11" s="6">
        <v>158</v>
      </c>
      <c r="AU11" s="6">
        <v>162</v>
      </c>
      <c r="AV11" s="6">
        <v>167</v>
      </c>
      <c r="AW11" s="6">
        <v>175</v>
      </c>
      <c r="AX11" s="6">
        <v>2139</v>
      </c>
      <c r="AY11" s="6">
        <v>1492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1195</v>
      </c>
      <c r="BF11" s="6">
        <v>2409</v>
      </c>
      <c r="BG11" s="6">
        <v>27</v>
      </c>
      <c r="BH11" s="6">
        <v>0</v>
      </c>
      <c r="BI11" s="6">
        <v>0</v>
      </c>
      <c r="BJ11" s="6">
        <v>0</v>
      </c>
      <c r="BK11" s="6">
        <v>0</v>
      </c>
      <c r="BL11" s="6">
        <v>2</v>
      </c>
      <c r="BM11" s="6">
        <v>95</v>
      </c>
      <c r="BN11" s="6" t="b">
        <v>0</v>
      </c>
      <c r="BO11" s="6" t="b">
        <v>0</v>
      </c>
      <c r="BP11" s="6" t="b">
        <v>0</v>
      </c>
      <c r="BQ11" s="6">
        <v>3632</v>
      </c>
      <c r="BR11" s="6">
        <v>1200</v>
      </c>
      <c r="BS11" s="6">
        <v>600</v>
      </c>
      <c r="BW11" s="6">
        <v>156</v>
      </c>
      <c r="BX11" s="6">
        <v>153</v>
      </c>
      <c r="BY11" s="6">
        <v>12391</v>
      </c>
      <c r="BZ11" s="6">
        <v>222</v>
      </c>
      <c r="CA11" s="6" t="s">
        <v>233</v>
      </c>
      <c r="CB11" s="6" t="s">
        <v>234</v>
      </c>
      <c r="CD11" s="6" t="s">
        <v>196</v>
      </c>
      <c r="CE11" s="25">
        <v>2.13839E+18</v>
      </c>
      <c r="CF11" s="6">
        <v>95.55556</v>
      </c>
    </row>
    <row r="12" spans="1:86" x14ac:dyDescent="0.2">
      <c r="A12" s="6" t="s">
        <v>235</v>
      </c>
      <c r="B12" s="24">
        <v>46156.287974537037</v>
      </c>
      <c r="C12" s="6"/>
      <c r="D12" s="6" t="s">
        <v>199</v>
      </c>
      <c r="E12" s="6">
        <v>3607</v>
      </c>
      <c r="F12" s="6">
        <v>9084.85</v>
      </c>
      <c r="G12" s="6">
        <v>3608</v>
      </c>
      <c r="H12" s="6">
        <v>45.298830000000002</v>
      </c>
      <c r="I12" s="6">
        <v>2.8460000000000001</v>
      </c>
      <c r="J12" s="6">
        <v>2.5179999999999998</v>
      </c>
      <c r="K12" s="6" t="b">
        <v>1</v>
      </c>
      <c r="L12" s="6">
        <v>151</v>
      </c>
      <c r="M12" s="6">
        <v>140</v>
      </c>
      <c r="N12" s="6">
        <v>83.557525999999996</v>
      </c>
      <c r="O12" s="6">
        <v>802</v>
      </c>
      <c r="P12" s="6"/>
      <c r="Q12" s="6"/>
      <c r="R12" s="6"/>
      <c r="S12" s="6"/>
      <c r="T12" s="6">
        <v>72.730419999999995</v>
      </c>
      <c r="U12" s="6">
        <v>53</v>
      </c>
      <c r="W12" s="6">
        <v>3</v>
      </c>
      <c r="X12" s="6">
        <v>2.518672</v>
      </c>
      <c r="Y12" s="6">
        <v>54.98113</v>
      </c>
      <c r="Z12" s="6">
        <v>35.991115999999998</v>
      </c>
      <c r="AA12" s="6">
        <v>309</v>
      </c>
      <c r="AB12" s="6"/>
      <c r="AC12" s="6"/>
      <c r="AD12" s="6"/>
      <c r="AE12" s="6" t="b">
        <v>0</v>
      </c>
      <c r="AF12" s="6" t="b">
        <v>0</v>
      </c>
      <c r="AH12" s="6">
        <v>310</v>
      </c>
      <c r="AK12" s="6">
        <v>2.7397260000000001</v>
      </c>
      <c r="AL12" s="6"/>
      <c r="AM12" s="6">
        <v>53</v>
      </c>
      <c r="AN12" s="6">
        <v>85</v>
      </c>
      <c r="AO12" s="6">
        <v>72</v>
      </c>
      <c r="AP12" s="6">
        <v>163</v>
      </c>
      <c r="AQ12" s="6">
        <v>137</v>
      </c>
      <c r="AR12" s="6">
        <v>145</v>
      </c>
      <c r="AS12" s="6">
        <v>153</v>
      </c>
      <c r="AT12" s="6">
        <v>162</v>
      </c>
      <c r="AU12" s="6">
        <v>166</v>
      </c>
      <c r="AV12" s="6">
        <v>171</v>
      </c>
      <c r="AW12" s="6">
        <v>175</v>
      </c>
      <c r="AX12" s="6">
        <v>383</v>
      </c>
      <c r="AY12" s="6">
        <v>2882</v>
      </c>
      <c r="AZ12" s="6">
        <v>344</v>
      </c>
      <c r="BA12" s="6">
        <v>0</v>
      </c>
      <c r="BB12" s="6">
        <v>0</v>
      </c>
      <c r="BC12" s="6">
        <v>0</v>
      </c>
      <c r="BD12" s="6">
        <v>0</v>
      </c>
      <c r="BE12" s="6"/>
      <c r="BF12" s="6"/>
      <c r="BG12" s="6"/>
      <c r="BH12" s="6"/>
      <c r="BI12" s="6"/>
      <c r="BJ12" s="6"/>
      <c r="BK12" s="6"/>
      <c r="BL12" s="6"/>
      <c r="BM12" s="6">
        <v>95</v>
      </c>
      <c r="BN12" s="6" t="b">
        <v>0</v>
      </c>
      <c r="BO12" s="6" t="b">
        <v>0</v>
      </c>
      <c r="BP12" s="6" t="b">
        <v>0</v>
      </c>
      <c r="BQ12" s="6">
        <v>3607</v>
      </c>
      <c r="BR12" s="6">
        <v>300</v>
      </c>
      <c r="BS12" s="6">
        <v>300</v>
      </c>
      <c r="BW12" s="6"/>
      <c r="BX12" s="6"/>
      <c r="BY12" s="6"/>
      <c r="BZ12" s="6"/>
      <c r="CA12" s="6" t="s">
        <v>236</v>
      </c>
      <c r="CB12" s="6" t="s">
        <v>237</v>
      </c>
      <c r="CD12" s="6" t="s">
        <v>196</v>
      </c>
      <c r="CE12" s="25">
        <v>22879136797</v>
      </c>
      <c r="CF12" s="6">
        <v>120.454544</v>
      </c>
    </row>
    <row r="13" spans="1:86" x14ac:dyDescent="0.2">
      <c r="A13" s="6" t="s">
        <v>238</v>
      </c>
      <c r="B13" s="24">
        <v>46155.271770833337</v>
      </c>
      <c r="C13" s="6" t="s">
        <v>239</v>
      </c>
      <c r="D13" s="6" t="s">
        <v>208</v>
      </c>
      <c r="E13" s="6">
        <v>3606</v>
      </c>
      <c r="F13" s="6">
        <v>23048.68</v>
      </c>
      <c r="G13" s="6">
        <v>3608</v>
      </c>
      <c r="H13" s="6">
        <v>200</v>
      </c>
      <c r="I13" s="6">
        <v>14.86</v>
      </c>
      <c r="J13" s="6">
        <v>6.3860000000000001</v>
      </c>
      <c r="K13" s="6" t="b">
        <v>1</v>
      </c>
      <c r="L13" s="6">
        <v>143</v>
      </c>
      <c r="M13" s="6">
        <v>125</v>
      </c>
      <c r="N13" s="6">
        <v>69.752780000000001</v>
      </c>
      <c r="O13" s="6">
        <v>538</v>
      </c>
      <c r="P13" s="6" t="b">
        <v>1</v>
      </c>
      <c r="Q13" s="6">
        <v>156</v>
      </c>
      <c r="R13" s="6">
        <v>165</v>
      </c>
      <c r="S13" s="6">
        <v>564147</v>
      </c>
      <c r="T13" s="6">
        <v>70.212770000000006</v>
      </c>
      <c r="U13" s="6">
        <v>49</v>
      </c>
      <c r="W13" s="6"/>
      <c r="X13" s="6">
        <v>6.3917580000000003</v>
      </c>
      <c r="Y13" s="6">
        <v>55.285361999999999</v>
      </c>
      <c r="Z13" s="6">
        <v>35.581283999999997</v>
      </c>
      <c r="AA13" s="6">
        <v>233</v>
      </c>
      <c r="AB13" s="6">
        <v>1.0576923</v>
      </c>
      <c r="AC13" s="6">
        <v>1.32</v>
      </c>
      <c r="AD13" s="6" t="b">
        <v>1</v>
      </c>
      <c r="AE13" s="6" t="b">
        <v>0</v>
      </c>
      <c r="AF13" s="6" t="b">
        <v>0</v>
      </c>
      <c r="AH13" s="6">
        <v>235</v>
      </c>
      <c r="AK13" s="6"/>
      <c r="AL13" s="6">
        <v>49</v>
      </c>
      <c r="AM13" s="6">
        <v>27</v>
      </c>
      <c r="AN13" s="6"/>
      <c r="AO13" s="6">
        <v>65</v>
      </c>
      <c r="AP13" s="6">
        <v>159</v>
      </c>
      <c r="AQ13" s="6">
        <v>127</v>
      </c>
      <c r="AR13" s="6">
        <v>142</v>
      </c>
      <c r="AS13" s="6">
        <v>148</v>
      </c>
      <c r="AT13" s="6">
        <v>158</v>
      </c>
      <c r="AU13" s="6">
        <v>162</v>
      </c>
      <c r="AV13" s="6">
        <v>167</v>
      </c>
      <c r="AW13" s="6">
        <v>175</v>
      </c>
      <c r="AX13" s="6">
        <v>1892</v>
      </c>
      <c r="AY13" s="6">
        <v>1712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1295</v>
      </c>
      <c r="BF13" s="6">
        <v>1533</v>
      </c>
      <c r="BG13" s="6">
        <v>723</v>
      </c>
      <c r="BH13" s="6">
        <v>55</v>
      </c>
      <c r="BI13" s="6">
        <v>0</v>
      </c>
      <c r="BJ13" s="6">
        <v>0</v>
      </c>
      <c r="BK13" s="6">
        <v>0</v>
      </c>
      <c r="BL13" s="6">
        <v>578</v>
      </c>
      <c r="BM13" s="6">
        <v>95</v>
      </c>
      <c r="BN13" s="6" t="b">
        <v>0</v>
      </c>
      <c r="BO13" s="6" t="b">
        <v>0</v>
      </c>
      <c r="BP13" s="6" t="b">
        <v>0</v>
      </c>
      <c r="BQ13" s="6">
        <v>3607</v>
      </c>
      <c r="BR13" s="6">
        <v>1200</v>
      </c>
      <c r="BS13" s="6">
        <v>600</v>
      </c>
      <c r="BW13" s="6">
        <v>163</v>
      </c>
      <c r="BX13" s="6">
        <v>160</v>
      </c>
      <c r="BY13" s="6">
        <v>14368</v>
      </c>
      <c r="BZ13" s="6">
        <v>241</v>
      </c>
      <c r="CA13" s="6" t="s">
        <v>240</v>
      </c>
      <c r="CB13" s="6" t="s">
        <v>241</v>
      </c>
      <c r="CD13" s="6" t="s">
        <v>196</v>
      </c>
      <c r="CE13" s="25">
        <v>2.13714E+18</v>
      </c>
      <c r="CF13" s="6">
        <v>100</v>
      </c>
    </row>
    <row r="14" spans="1:86" x14ac:dyDescent="0.2">
      <c r="A14" s="6" t="s">
        <v>242</v>
      </c>
      <c r="B14" s="24">
        <v>46154.355000000003</v>
      </c>
      <c r="C14" s="6" t="s">
        <v>243</v>
      </c>
      <c r="D14" s="6" t="s">
        <v>193</v>
      </c>
      <c r="E14" s="6">
        <v>12232</v>
      </c>
      <c r="F14" s="6">
        <v>57778.84</v>
      </c>
      <c r="G14" s="6">
        <v>12422</v>
      </c>
      <c r="H14" s="6">
        <v>699</v>
      </c>
      <c r="I14" s="6">
        <v>12.97</v>
      </c>
      <c r="J14" s="6">
        <v>4.72</v>
      </c>
      <c r="K14" s="6" t="b">
        <v>1</v>
      </c>
      <c r="L14" s="6">
        <v>150</v>
      </c>
      <c r="M14" s="6">
        <v>125</v>
      </c>
      <c r="N14" s="6">
        <v>75.234769999999997</v>
      </c>
      <c r="O14" s="6">
        <v>1993</v>
      </c>
      <c r="P14" s="6" t="b">
        <v>1</v>
      </c>
      <c r="Q14" s="6">
        <v>136</v>
      </c>
      <c r="R14" s="6">
        <v>166</v>
      </c>
      <c r="S14" s="6">
        <v>1676499</v>
      </c>
      <c r="T14" s="6">
        <v>72.807013999999995</v>
      </c>
      <c r="U14" s="6">
        <v>180</v>
      </c>
      <c r="W14" s="6"/>
      <c r="X14" s="6">
        <v>4.7235810000000003</v>
      </c>
      <c r="Y14" s="6">
        <v>56.250576000000002</v>
      </c>
      <c r="Z14" s="6">
        <v>35.257956999999998</v>
      </c>
      <c r="AA14" s="6">
        <v>233</v>
      </c>
      <c r="AB14" s="6">
        <v>1.2205881999999999</v>
      </c>
      <c r="AC14" s="6">
        <v>1.3280000000000001</v>
      </c>
      <c r="AE14" s="6" t="b">
        <v>0</v>
      </c>
      <c r="AF14" s="6" t="b">
        <v>0</v>
      </c>
      <c r="AH14" s="6">
        <v>228</v>
      </c>
      <c r="AK14" s="6"/>
      <c r="AL14" s="6">
        <v>180</v>
      </c>
      <c r="AM14" s="6">
        <v>92</v>
      </c>
      <c r="AN14" s="6"/>
      <c r="AO14" s="6">
        <v>88</v>
      </c>
      <c r="AP14" s="6">
        <v>159</v>
      </c>
      <c r="AQ14" s="6">
        <v>127</v>
      </c>
      <c r="AR14" s="6">
        <v>142</v>
      </c>
      <c r="AS14" s="6">
        <v>148</v>
      </c>
      <c r="AT14" s="6">
        <v>158</v>
      </c>
      <c r="AU14" s="6">
        <v>162</v>
      </c>
      <c r="AV14" s="6">
        <v>167</v>
      </c>
      <c r="AW14" s="6">
        <v>175</v>
      </c>
      <c r="AX14" s="6">
        <v>6665</v>
      </c>
      <c r="AY14" s="6">
        <v>5031</v>
      </c>
      <c r="AZ14" s="6">
        <v>491</v>
      </c>
      <c r="BA14" s="6">
        <v>45</v>
      </c>
      <c r="BB14" s="6">
        <v>0</v>
      </c>
      <c r="BC14" s="6">
        <v>0</v>
      </c>
      <c r="BD14" s="6">
        <v>0</v>
      </c>
      <c r="BE14" s="6">
        <v>4123</v>
      </c>
      <c r="BF14" s="6">
        <v>3884</v>
      </c>
      <c r="BG14" s="6">
        <v>2135</v>
      </c>
      <c r="BH14" s="6">
        <v>1128</v>
      </c>
      <c r="BI14" s="6">
        <v>607</v>
      </c>
      <c r="BJ14" s="6">
        <v>323</v>
      </c>
      <c r="BK14" s="6">
        <v>32</v>
      </c>
      <c r="BL14" s="6">
        <v>1389</v>
      </c>
      <c r="BM14" s="6">
        <v>95</v>
      </c>
      <c r="BN14" s="6" t="b">
        <v>0</v>
      </c>
      <c r="BO14" s="6" t="b">
        <v>0</v>
      </c>
      <c r="BP14" s="6" t="b">
        <v>0</v>
      </c>
      <c r="BQ14" s="6">
        <v>12298</v>
      </c>
      <c r="BR14" s="6">
        <v>1200</v>
      </c>
      <c r="BS14" s="6">
        <v>600</v>
      </c>
      <c r="BW14" s="6">
        <v>170</v>
      </c>
      <c r="BX14" s="6">
        <v>166</v>
      </c>
      <c r="BY14" s="6">
        <v>14965</v>
      </c>
      <c r="BZ14" s="6">
        <v>667</v>
      </c>
      <c r="CA14" s="6" t="s">
        <v>244</v>
      </c>
      <c r="CB14" s="6" t="s">
        <v>245</v>
      </c>
      <c r="CD14" s="6" t="s">
        <v>196</v>
      </c>
      <c r="CE14" s="6">
        <v>22858194394</v>
      </c>
      <c r="CF14" s="6">
        <v>102.85714</v>
      </c>
    </row>
    <row r="15" spans="1:86" x14ac:dyDescent="0.2">
      <c r="A15" s="6" t="s">
        <v>246</v>
      </c>
      <c r="B15" s="24">
        <v>46153.25986111111</v>
      </c>
      <c r="C15" s="6"/>
      <c r="D15" s="6" t="s">
        <v>199</v>
      </c>
      <c r="E15" s="6">
        <v>3439</v>
      </c>
      <c r="F15" s="6">
        <v>7730.81</v>
      </c>
      <c r="G15" s="6">
        <v>3440</v>
      </c>
      <c r="H15" s="6">
        <v>81.304199999999994</v>
      </c>
      <c r="I15" s="6">
        <v>2.6589999999999998</v>
      </c>
      <c r="J15" s="6">
        <v>2.2469999999999999</v>
      </c>
      <c r="K15" s="6" t="b">
        <v>1</v>
      </c>
      <c r="L15" s="6">
        <v>144</v>
      </c>
      <c r="M15" s="6">
        <v>131</v>
      </c>
      <c r="N15" s="6">
        <v>82.547839999999994</v>
      </c>
      <c r="O15" s="6">
        <v>659</v>
      </c>
      <c r="P15" s="6"/>
      <c r="Q15" s="6"/>
      <c r="R15" s="6"/>
      <c r="S15" s="6"/>
      <c r="T15" s="6">
        <v>66.307069999999996</v>
      </c>
      <c r="U15" s="6">
        <v>42</v>
      </c>
      <c r="W15" s="6">
        <v>3</v>
      </c>
      <c r="X15" s="6">
        <v>2.2479819999999999</v>
      </c>
      <c r="Y15" s="6">
        <v>37.246997999999998</v>
      </c>
      <c r="Z15" s="6">
        <v>31.770365000000002</v>
      </c>
      <c r="AA15" s="6">
        <v>309</v>
      </c>
      <c r="AB15" s="6"/>
      <c r="AC15" s="6"/>
      <c r="AD15" s="6"/>
      <c r="AE15" s="6" t="b">
        <v>0</v>
      </c>
      <c r="AF15" s="6" t="b">
        <v>0</v>
      </c>
      <c r="AH15" s="6">
        <v>310</v>
      </c>
      <c r="AK15" s="6">
        <v>2.7397260000000001</v>
      </c>
      <c r="AL15" s="6"/>
      <c r="AM15" s="6">
        <v>42</v>
      </c>
      <c r="AN15" s="6">
        <v>66</v>
      </c>
      <c r="AO15" s="6">
        <v>88</v>
      </c>
      <c r="AP15" s="6">
        <v>163</v>
      </c>
      <c r="AQ15" s="6">
        <v>137</v>
      </c>
      <c r="AR15" s="6">
        <v>145</v>
      </c>
      <c r="AS15" s="6">
        <v>153</v>
      </c>
      <c r="AT15" s="6">
        <v>162</v>
      </c>
      <c r="AU15" s="6">
        <v>166</v>
      </c>
      <c r="AV15" s="6">
        <v>171</v>
      </c>
      <c r="AW15" s="6">
        <v>175</v>
      </c>
      <c r="AX15" s="6">
        <v>2212</v>
      </c>
      <c r="AY15" s="6">
        <v>1229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/>
      <c r="BF15" s="6"/>
      <c r="BG15" s="6"/>
      <c r="BH15" s="6"/>
      <c r="BI15" s="6"/>
      <c r="BJ15" s="6"/>
      <c r="BK15" s="6"/>
      <c r="BL15" s="6"/>
      <c r="BM15" s="6">
        <v>95</v>
      </c>
      <c r="BN15" s="6" t="b">
        <v>0</v>
      </c>
      <c r="BO15" s="6" t="b">
        <v>0</v>
      </c>
      <c r="BP15" s="6" t="b">
        <v>0</v>
      </c>
      <c r="BQ15" s="6">
        <v>3439</v>
      </c>
      <c r="BR15" s="6">
        <v>300</v>
      </c>
      <c r="BS15" s="6">
        <v>300</v>
      </c>
      <c r="BW15" s="6"/>
      <c r="BX15" s="6"/>
      <c r="BY15" s="6"/>
      <c r="BZ15" s="6"/>
      <c r="CA15" s="6" t="s">
        <v>247</v>
      </c>
      <c r="CB15" s="6" t="s">
        <v>248</v>
      </c>
      <c r="CD15" s="6" t="s">
        <v>196</v>
      </c>
      <c r="CE15" s="6">
        <v>22842756152</v>
      </c>
      <c r="CF15" s="6">
        <v>68.852459999999994</v>
      </c>
    </row>
    <row r="16" spans="1:86" x14ac:dyDescent="0.2">
      <c r="A16" s="6" t="s">
        <v>249</v>
      </c>
      <c r="B16" s="24">
        <v>46151.232673611114</v>
      </c>
      <c r="C16" s="6" t="s">
        <v>250</v>
      </c>
      <c r="D16" s="6" t="s">
        <v>82</v>
      </c>
      <c r="E16" s="6">
        <v>5508</v>
      </c>
      <c r="F16" s="6">
        <v>11288.87</v>
      </c>
      <c r="G16" s="6">
        <v>5511</v>
      </c>
      <c r="H16" s="6">
        <v>242.23706000000001</v>
      </c>
      <c r="I16" s="6">
        <v>2.7810000000000001</v>
      </c>
      <c r="J16" s="6">
        <v>2.0489999999999999</v>
      </c>
      <c r="K16" s="6" t="b">
        <v>1</v>
      </c>
      <c r="L16" s="6">
        <v>152</v>
      </c>
      <c r="M16" s="6">
        <v>138</v>
      </c>
      <c r="N16" s="6">
        <v>81.368706000000003</v>
      </c>
      <c r="O16" s="6">
        <v>1041</v>
      </c>
      <c r="P16" s="6" t="b">
        <v>1</v>
      </c>
      <c r="Q16" s="6">
        <v>300</v>
      </c>
      <c r="R16" s="6">
        <v>307</v>
      </c>
      <c r="S16" s="6">
        <v>1650714</v>
      </c>
      <c r="T16" s="6">
        <v>99.032259999999994</v>
      </c>
      <c r="U16" s="6">
        <v>76</v>
      </c>
      <c r="W16" s="6">
        <v>3</v>
      </c>
      <c r="X16" s="6">
        <v>2.0495407999999999</v>
      </c>
      <c r="Y16" s="6">
        <v>42.124850000000002</v>
      </c>
      <c r="Z16" s="6">
        <v>32.283454999999996</v>
      </c>
      <c r="AA16" s="6">
        <v>309</v>
      </c>
      <c r="AB16" s="6">
        <v>1.0233333</v>
      </c>
      <c r="AC16" s="6">
        <v>2.2246377000000002</v>
      </c>
      <c r="AD16" s="6"/>
      <c r="AE16" s="6" t="b">
        <v>0</v>
      </c>
      <c r="AF16" s="6" t="b">
        <v>0</v>
      </c>
      <c r="AH16" s="6">
        <v>310</v>
      </c>
      <c r="AK16" s="6">
        <v>2.7397260000000001</v>
      </c>
      <c r="AL16" s="6">
        <v>150</v>
      </c>
      <c r="AM16" s="6">
        <v>76</v>
      </c>
      <c r="AN16" s="6">
        <v>97</v>
      </c>
      <c r="AO16" s="6">
        <v>124</v>
      </c>
      <c r="AP16" s="6">
        <v>163</v>
      </c>
      <c r="AQ16" s="6">
        <v>137</v>
      </c>
      <c r="AR16" s="6">
        <v>145</v>
      </c>
      <c r="AS16" s="6">
        <v>153</v>
      </c>
      <c r="AT16" s="6">
        <v>162</v>
      </c>
      <c r="AU16" s="6">
        <v>166</v>
      </c>
      <c r="AV16" s="6">
        <v>171</v>
      </c>
      <c r="AW16" s="6">
        <v>175</v>
      </c>
      <c r="AX16" s="6">
        <v>1880</v>
      </c>
      <c r="AY16" s="6">
        <v>3139</v>
      </c>
      <c r="AZ16" s="6">
        <v>489</v>
      </c>
      <c r="BA16" s="6">
        <v>0</v>
      </c>
      <c r="BB16" s="6">
        <v>0</v>
      </c>
      <c r="BC16" s="6">
        <v>0</v>
      </c>
      <c r="BD16" s="6">
        <v>0</v>
      </c>
      <c r="BE16" s="6">
        <v>61</v>
      </c>
      <c r="BF16" s="6">
        <v>275</v>
      </c>
      <c r="BG16" s="6">
        <v>1205</v>
      </c>
      <c r="BH16" s="6">
        <v>2568</v>
      </c>
      <c r="BI16" s="6">
        <v>1124</v>
      </c>
      <c r="BJ16" s="6">
        <v>275</v>
      </c>
      <c r="BK16" s="6">
        <v>0</v>
      </c>
      <c r="BL16" s="6">
        <v>1726</v>
      </c>
      <c r="BM16" s="6">
        <v>95</v>
      </c>
      <c r="BN16" s="6" t="b">
        <v>0</v>
      </c>
      <c r="BO16" s="6" t="b">
        <v>0</v>
      </c>
      <c r="BP16" s="6" t="b">
        <v>0</v>
      </c>
      <c r="BQ16" s="6">
        <v>5510</v>
      </c>
      <c r="BR16" s="6">
        <v>300</v>
      </c>
      <c r="BS16" s="6">
        <v>300</v>
      </c>
      <c r="BW16" s="6">
        <v>306</v>
      </c>
      <c r="BX16" s="6">
        <v>300</v>
      </c>
      <c r="BY16" s="6">
        <v>25168</v>
      </c>
      <c r="BZ16" s="6">
        <v>440</v>
      </c>
      <c r="CA16" s="6" t="s">
        <v>251</v>
      </c>
      <c r="CB16" s="6" t="s">
        <v>252</v>
      </c>
      <c r="CD16" s="6" t="s">
        <v>196</v>
      </c>
      <c r="CE16" s="25">
        <v>22820304907</v>
      </c>
      <c r="CF16" s="6">
        <v>126.666664</v>
      </c>
    </row>
    <row r="17" spans="1:84" x14ac:dyDescent="0.2">
      <c r="A17" s="6" t="s">
        <v>253</v>
      </c>
      <c r="B17" s="24">
        <v>46150.003611111111</v>
      </c>
      <c r="C17" s="6" t="s">
        <v>254</v>
      </c>
      <c r="D17" s="6" t="s">
        <v>208</v>
      </c>
      <c r="E17" s="6">
        <v>2737</v>
      </c>
      <c r="F17" s="6">
        <v>20856.79</v>
      </c>
      <c r="G17" s="6">
        <v>2739</v>
      </c>
      <c r="H17" s="6">
        <v>122</v>
      </c>
      <c r="I17" s="6">
        <v>13.305999999999999</v>
      </c>
      <c r="J17" s="6">
        <v>7.6109999999999998</v>
      </c>
      <c r="K17" s="6" t="b">
        <v>1</v>
      </c>
      <c r="L17" s="6">
        <v>129</v>
      </c>
      <c r="M17" s="6">
        <v>112</v>
      </c>
      <c r="N17" s="6">
        <v>66.263335999999995</v>
      </c>
      <c r="O17" s="6">
        <v>354</v>
      </c>
      <c r="P17" s="6" t="b">
        <v>1</v>
      </c>
      <c r="Q17" s="6">
        <v>136</v>
      </c>
      <c r="R17" s="6">
        <v>139</v>
      </c>
      <c r="S17" s="6">
        <v>371507</v>
      </c>
      <c r="T17" s="6">
        <v>59.148936999999997</v>
      </c>
      <c r="U17" s="6">
        <v>27</v>
      </c>
      <c r="W17" s="6"/>
      <c r="X17" s="6">
        <v>7.6203102999999999</v>
      </c>
      <c r="Y17" s="6">
        <v>36.922812999999998</v>
      </c>
      <c r="Z17" s="6">
        <v>31.230093</v>
      </c>
      <c r="AA17" s="6">
        <v>233</v>
      </c>
      <c r="AB17" s="6">
        <v>1.0220587999999999</v>
      </c>
      <c r="AC17" s="6">
        <v>1.2410715000000001</v>
      </c>
      <c r="AD17" s="6" t="b">
        <v>1</v>
      </c>
      <c r="AE17" s="6" t="b">
        <v>0</v>
      </c>
      <c r="AF17" s="6" t="b">
        <v>0</v>
      </c>
      <c r="AH17" s="6">
        <v>235</v>
      </c>
      <c r="AK17" s="6"/>
      <c r="AL17" s="6">
        <v>27</v>
      </c>
      <c r="AM17" s="6">
        <v>20</v>
      </c>
      <c r="AN17" s="6"/>
      <c r="AO17" s="6">
        <v>64</v>
      </c>
      <c r="AP17" s="6">
        <v>159</v>
      </c>
      <c r="AQ17" s="6">
        <v>127</v>
      </c>
      <c r="AR17" s="6">
        <v>142</v>
      </c>
      <c r="AS17" s="6">
        <v>148</v>
      </c>
      <c r="AT17" s="6">
        <v>158</v>
      </c>
      <c r="AU17" s="6">
        <v>162</v>
      </c>
      <c r="AV17" s="6">
        <v>167</v>
      </c>
      <c r="AW17" s="6">
        <v>175</v>
      </c>
      <c r="AX17" s="6">
        <v>2709</v>
      </c>
      <c r="AY17" s="6">
        <v>28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1081</v>
      </c>
      <c r="BF17" s="6">
        <v>1656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95</v>
      </c>
      <c r="BN17" s="6" t="b">
        <v>0</v>
      </c>
      <c r="BO17" s="6" t="b">
        <v>0</v>
      </c>
      <c r="BP17" s="6" t="b">
        <v>0</v>
      </c>
      <c r="BQ17" s="6">
        <v>2738</v>
      </c>
      <c r="BR17" s="6">
        <v>0</v>
      </c>
      <c r="BS17" s="6">
        <v>0</v>
      </c>
      <c r="BW17" s="6">
        <v>137</v>
      </c>
      <c r="BX17" s="6">
        <v>135</v>
      </c>
      <c r="BY17" s="6">
        <v>10275</v>
      </c>
      <c r="BZ17" s="6">
        <v>173</v>
      </c>
      <c r="CA17" s="6" t="s">
        <v>255</v>
      </c>
      <c r="CB17" s="6" t="s">
        <v>256</v>
      </c>
      <c r="CD17" s="6" t="s">
        <v>196</v>
      </c>
      <c r="CE17" s="25">
        <v>2.13332E+18</v>
      </c>
      <c r="CF17" s="6">
        <v>100</v>
      </c>
    </row>
    <row r="18" spans="1:84" x14ac:dyDescent="0.2">
      <c r="A18" s="6" t="s">
        <v>257</v>
      </c>
      <c r="B18" s="24">
        <v>46149.253148148149</v>
      </c>
      <c r="C18" s="6" t="s">
        <v>258</v>
      </c>
      <c r="D18" s="6" t="s">
        <v>199</v>
      </c>
      <c r="E18" s="6">
        <v>3004</v>
      </c>
      <c r="F18" s="6">
        <v>5813.29</v>
      </c>
      <c r="G18" s="6">
        <v>3009</v>
      </c>
      <c r="H18" s="6">
        <v>40.679442999999999</v>
      </c>
      <c r="I18" s="6">
        <v>3.6669999999999998</v>
      </c>
      <c r="J18" s="6">
        <v>1.9319999999999999</v>
      </c>
      <c r="K18" s="6" t="b">
        <v>1</v>
      </c>
      <c r="L18" s="6">
        <v>138</v>
      </c>
      <c r="M18" s="6">
        <v>118</v>
      </c>
      <c r="N18" s="6">
        <v>79.081500000000005</v>
      </c>
      <c r="O18" s="6">
        <v>459</v>
      </c>
      <c r="P18" s="6"/>
      <c r="Q18" s="6"/>
      <c r="R18" s="6"/>
      <c r="S18" s="6"/>
      <c r="T18" s="6">
        <v>55.782634999999999</v>
      </c>
      <c r="U18" s="6">
        <v>26</v>
      </c>
      <c r="W18" s="6">
        <v>2</v>
      </c>
      <c r="X18" s="6">
        <v>1.9351830000000001</v>
      </c>
      <c r="Y18" s="6">
        <v>38.44661</v>
      </c>
      <c r="Z18" s="6">
        <v>31.332018000000001</v>
      </c>
      <c r="AA18" s="6">
        <v>309</v>
      </c>
      <c r="AB18" s="6"/>
      <c r="AC18" s="6"/>
      <c r="AD18" s="6"/>
      <c r="AE18" s="6" t="b">
        <v>0</v>
      </c>
      <c r="AF18" s="6" t="b">
        <v>0</v>
      </c>
      <c r="AH18" s="6">
        <v>310</v>
      </c>
      <c r="AK18" s="6">
        <v>2.7397260000000001</v>
      </c>
      <c r="AL18" s="6"/>
      <c r="AM18" s="6">
        <v>26</v>
      </c>
      <c r="AN18" s="6">
        <v>42</v>
      </c>
      <c r="AO18" s="6">
        <v>58</v>
      </c>
      <c r="AP18" s="6">
        <v>163</v>
      </c>
      <c r="AQ18" s="6">
        <v>137</v>
      </c>
      <c r="AR18" s="6">
        <v>145</v>
      </c>
      <c r="AS18" s="6">
        <v>153</v>
      </c>
      <c r="AT18" s="6">
        <v>162</v>
      </c>
      <c r="AU18" s="6">
        <v>166</v>
      </c>
      <c r="AV18" s="6">
        <v>171</v>
      </c>
      <c r="AW18" s="6">
        <v>175</v>
      </c>
      <c r="AX18" s="6">
        <v>3003</v>
      </c>
      <c r="AY18" s="6">
        <v>3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/>
      <c r="BF18" s="6"/>
      <c r="BG18" s="6"/>
      <c r="BH18" s="6"/>
      <c r="BI18" s="6"/>
      <c r="BJ18" s="6"/>
      <c r="BK18" s="6"/>
      <c r="BL18" s="6"/>
      <c r="BM18" s="6">
        <v>95</v>
      </c>
      <c r="BN18" s="6" t="b">
        <v>0</v>
      </c>
      <c r="BO18" s="6" t="b">
        <v>0</v>
      </c>
      <c r="BP18" s="6" t="b">
        <v>0</v>
      </c>
      <c r="BQ18" s="6">
        <v>3008</v>
      </c>
      <c r="BR18" s="6">
        <v>300</v>
      </c>
      <c r="BS18" s="6">
        <v>300</v>
      </c>
      <c r="BW18" s="6"/>
      <c r="BX18" s="6"/>
      <c r="BY18" s="6"/>
      <c r="BZ18" s="6"/>
      <c r="CA18" s="6" t="s">
        <v>259</v>
      </c>
      <c r="CB18" s="6" t="s">
        <v>260</v>
      </c>
      <c r="CD18" s="6" t="s">
        <v>196</v>
      </c>
      <c r="CE18" s="25">
        <v>22796577003</v>
      </c>
      <c r="CF18" s="6">
        <v>162.5</v>
      </c>
    </row>
    <row r="19" spans="1:84" x14ac:dyDescent="0.2">
      <c r="A19" s="6" t="s">
        <v>261</v>
      </c>
      <c r="B19" s="24">
        <v>46148.289768518516</v>
      </c>
      <c r="C19" s="6" t="s">
        <v>262</v>
      </c>
      <c r="D19" s="6" t="s">
        <v>208</v>
      </c>
      <c r="E19" s="6">
        <v>3607</v>
      </c>
      <c r="F19" s="6">
        <v>26039.52</v>
      </c>
      <c r="G19" s="6">
        <v>3610</v>
      </c>
      <c r="H19" s="6">
        <v>219</v>
      </c>
      <c r="I19" s="6">
        <v>18.006</v>
      </c>
      <c r="J19" s="6">
        <v>7.2110000000000003</v>
      </c>
      <c r="K19" s="6" t="b">
        <v>1</v>
      </c>
      <c r="L19" s="6">
        <v>131</v>
      </c>
      <c r="M19" s="6">
        <v>118</v>
      </c>
      <c r="N19" s="6">
        <v>65.219536000000005</v>
      </c>
      <c r="O19" s="6">
        <v>494</v>
      </c>
      <c r="P19" s="6" t="b">
        <v>1</v>
      </c>
      <c r="Q19" s="6">
        <v>143</v>
      </c>
      <c r="R19" s="6">
        <v>153</v>
      </c>
      <c r="S19" s="6">
        <v>517320</v>
      </c>
      <c r="T19" s="6">
        <v>65.106384000000006</v>
      </c>
      <c r="U19" s="6">
        <v>42</v>
      </c>
      <c r="W19" s="6"/>
      <c r="X19" s="6">
        <v>7.2191625000000004</v>
      </c>
      <c r="Y19" s="6">
        <v>40.357970000000002</v>
      </c>
      <c r="Z19" s="6">
        <v>31.460495000000002</v>
      </c>
      <c r="AA19" s="6">
        <v>234</v>
      </c>
      <c r="AB19" s="6">
        <v>1.0699301000000001</v>
      </c>
      <c r="AC19" s="6">
        <v>1.2966101000000001</v>
      </c>
      <c r="AD19" s="6" t="b">
        <v>1</v>
      </c>
      <c r="AE19" s="6" t="b">
        <v>0</v>
      </c>
      <c r="AF19" s="6" t="b">
        <v>0</v>
      </c>
      <c r="AH19" s="6">
        <v>235</v>
      </c>
      <c r="AK19" s="6"/>
      <c r="AL19" s="6">
        <v>42</v>
      </c>
      <c r="AM19" s="6">
        <v>17</v>
      </c>
      <c r="AN19" s="6"/>
      <c r="AO19" s="6">
        <v>91</v>
      </c>
      <c r="AP19" s="6">
        <v>159</v>
      </c>
      <c r="AQ19" s="6">
        <v>127</v>
      </c>
      <c r="AR19" s="6">
        <v>142</v>
      </c>
      <c r="AS19" s="6">
        <v>148</v>
      </c>
      <c r="AT19" s="6">
        <v>158</v>
      </c>
      <c r="AU19" s="6">
        <v>162</v>
      </c>
      <c r="AV19" s="6">
        <v>167</v>
      </c>
      <c r="AW19" s="6">
        <v>175</v>
      </c>
      <c r="AX19" s="6">
        <v>3333</v>
      </c>
      <c r="AY19" s="6">
        <v>274</v>
      </c>
      <c r="AZ19" s="6">
        <v>0</v>
      </c>
      <c r="BA19" s="6">
        <v>0</v>
      </c>
      <c r="BB19" s="6">
        <v>0</v>
      </c>
      <c r="BC19" s="6">
        <v>0</v>
      </c>
      <c r="BD19" s="6">
        <v>0</v>
      </c>
      <c r="BE19" s="6">
        <v>2511</v>
      </c>
      <c r="BF19" s="6">
        <v>790</v>
      </c>
      <c r="BG19" s="6">
        <v>35</v>
      </c>
      <c r="BH19" s="6">
        <v>28</v>
      </c>
      <c r="BI19" s="6">
        <v>32</v>
      </c>
      <c r="BJ19" s="6">
        <v>71</v>
      </c>
      <c r="BK19" s="6">
        <v>140</v>
      </c>
      <c r="BL19" s="6">
        <v>27</v>
      </c>
      <c r="BM19" s="6">
        <v>95</v>
      </c>
      <c r="BN19" s="6" t="b">
        <v>0</v>
      </c>
      <c r="BO19" s="6" t="b">
        <v>0</v>
      </c>
      <c r="BP19" s="6" t="b">
        <v>0</v>
      </c>
      <c r="BQ19" s="6">
        <v>3609</v>
      </c>
      <c r="BR19" s="6">
        <v>1200</v>
      </c>
      <c r="BS19" s="6">
        <v>600</v>
      </c>
      <c r="BW19" s="6">
        <v>151</v>
      </c>
      <c r="BX19" s="6">
        <v>148</v>
      </c>
      <c r="BY19" s="6">
        <v>11229</v>
      </c>
      <c r="BZ19" s="6">
        <v>420</v>
      </c>
      <c r="CA19" s="6" t="s">
        <v>263</v>
      </c>
      <c r="CB19" s="6" t="s">
        <v>264</v>
      </c>
      <c r="CD19" s="6" t="s">
        <v>196</v>
      </c>
      <c r="CE19" s="25">
        <v>2.13208E+18</v>
      </c>
      <c r="CF19" s="6">
        <v>97.674415999999994</v>
      </c>
    </row>
    <row r="20" spans="1:84" x14ac:dyDescent="0.2">
      <c r="A20" s="6" t="s">
        <v>265</v>
      </c>
      <c r="B20" s="24">
        <v>46147.318148148152</v>
      </c>
      <c r="C20" s="6" t="s">
        <v>266</v>
      </c>
      <c r="D20" s="6" t="s">
        <v>208</v>
      </c>
      <c r="E20" s="6">
        <v>9004</v>
      </c>
      <c r="F20" s="6">
        <v>50103.25</v>
      </c>
      <c r="G20" s="6">
        <v>9006</v>
      </c>
      <c r="H20" s="6">
        <v>511</v>
      </c>
      <c r="I20" s="6">
        <v>13.948</v>
      </c>
      <c r="J20" s="6">
        <v>5.5620000000000003</v>
      </c>
      <c r="K20" s="6" t="b">
        <v>1</v>
      </c>
      <c r="L20" s="6">
        <v>143</v>
      </c>
      <c r="M20" s="6">
        <v>129</v>
      </c>
      <c r="N20" s="6">
        <v>75.742999999999995</v>
      </c>
      <c r="O20" s="6">
        <v>1165</v>
      </c>
      <c r="P20" s="6" t="b">
        <v>1</v>
      </c>
      <c r="Q20" s="6">
        <v>135</v>
      </c>
      <c r="R20" s="6">
        <v>137</v>
      </c>
      <c r="S20" s="6">
        <v>1219593</v>
      </c>
      <c r="T20" s="6">
        <v>58.297870000000003</v>
      </c>
      <c r="U20" s="6">
        <v>85</v>
      </c>
      <c r="W20" s="6"/>
      <c r="X20" s="6">
        <v>5.5645547000000004</v>
      </c>
      <c r="Y20" s="6">
        <v>40.105812</v>
      </c>
      <c r="Z20" s="6">
        <v>31.206543</v>
      </c>
      <c r="AA20" s="6">
        <v>234</v>
      </c>
      <c r="AB20" s="6">
        <v>1.0148149</v>
      </c>
      <c r="AC20" s="6">
        <v>1.0620155</v>
      </c>
      <c r="AD20" s="6" t="b">
        <v>1</v>
      </c>
      <c r="AE20" s="6" t="b">
        <v>0</v>
      </c>
      <c r="AF20" s="6" t="b">
        <v>0</v>
      </c>
      <c r="AH20" s="6">
        <v>235</v>
      </c>
      <c r="AK20" s="6"/>
      <c r="AL20" s="6">
        <v>85</v>
      </c>
      <c r="AM20" s="6">
        <v>74</v>
      </c>
      <c r="AN20" s="6"/>
      <c r="AO20" s="6">
        <v>91</v>
      </c>
      <c r="AP20" s="6">
        <v>159</v>
      </c>
      <c r="AQ20" s="6">
        <v>127</v>
      </c>
      <c r="AR20" s="6">
        <v>142</v>
      </c>
      <c r="AS20" s="6">
        <v>148</v>
      </c>
      <c r="AT20" s="6">
        <v>158</v>
      </c>
      <c r="AU20" s="6">
        <v>162</v>
      </c>
      <c r="AV20" s="6">
        <v>167</v>
      </c>
      <c r="AW20" s="6">
        <v>175</v>
      </c>
      <c r="AX20" s="6">
        <v>2693</v>
      </c>
      <c r="AY20" s="6">
        <v>6282</v>
      </c>
      <c r="AZ20" s="6">
        <v>29</v>
      </c>
      <c r="BA20" s="6">
        <v>0</v>
      </c>
      <c r="BB20" s="6">
        <v>0</v>
      </c>
      <c r="BC20" s="6">
        <v>0</v>
      </c>
      <c r="BD20" s="6">
        <v>0</v>
      </c>
      <c r="BE20" s="6">
        <v>2186</v>
      </c>
      <c r="BF20" s="6">
        <v>6810</v>
      </c>
      <c r="BG20" s="6">
        <v>8</v>
      </c>
      <c r="BH20" s="6">
        <v>0</v>
      </c>
      <c r="BI20" s="6">
        <v>0</v>
      </c>
      <c r="BJ20" s="6">
        <v>0</v>
      </c>
      <c r="BK20" s="6">
        <v>0</v>
      </c>
      <c r="BL20" s="6">
        <v>1</v>
      </c>
      <c r="BM20" s="6">
        <v>95</v>
      </c>
      <c r="BN20" s="6" t="b">
        <v>0</v>
      </c>
      <c r="BO20" s="6" t="b">
        <v>0</v>
      </c>
      <c r="BP20" s="6" t="b">
        <v>0</v>
      </c>
      <c r="BQ20" s="6">
        <v>9005</v>
      </c>
      <c r="BR20" s="6">
        <v>1200</v>
      </c>
      <c r="BS20" s="6">
        <v>600</v>
      </c>
      <c r="BW20" s="6">
        <v>141</v>
      </c>
      <c r="BX20" s="6">
        <v>139</v>
      </c>
      <c r="BY20" s="6">
        <v>10573</v>
      </c>
      <c r="BZ20" s="6">
        <v>236</v>
      </c>
      <c r="CA20" s="6" t="s">
        <v>267</v>
      </c>
      <c r="CB20" s="6" t="s">
        <v>268</v>
      </c>
      <c r="CD20" s="6" t="s">
        <v>196</v>
      </c>
      <c r="CE20" s="25">
        <v>2.13137E+18</v>
      </c>
      <c r="CF20" s="6">
        <v>79.439255000000003</v>
      </c>
    </row>
    <row r="21" spans="1:84" x14ac:dyDescent="0.2">
      <c r="A21" s="6" t="s">
        <v>269</v>
      </c>
      <c r="B21" s="24">
        <v>46146.25576388889</v>
      </c>
      <c r="C21" s="6" t="s">
        <v>212</v>
      </c>
      <c r="D21" s="6" t="s">
        <v>199</v>
      </c>
      <c r="E21" s="6">
        <v>2716</v>
      </c>
      <c r="F21" s="6">
        <v>5239.7299999999996</v>
      </c>
      <c r="G21" s="6">
        <v>2717</v>
      </c>
      <c r="H21" s="6">
        <v>41.846679999999999</v>
      </c>
      <c r="I21" s="6">
        <v>2.23</v>
      </c>
      <c r="J21" s="6">
        <v>1.929</v>
      </c>
      <c r="K21" s="6" t="b">
        <v>1</v>
      </c>
      <c r="L21" s="6">
        <v>129</v>
      </c>
      <c r="M21" s="6">
        <v>120</v>
      </c>
      <c r="N21" s="6">
        <v>79.102356</v>
      </c>
      <c r="O21" s="6">
        <v>412</v>
      </c>
      <c r="P21" s="6"/>
      <c r="Q21" s="6"/>
      <c r="R21" s="6"/>
      <c r="S21" s="6"/>
      <c r="T21" s="6">
        <v>39.882004000000002</v>
      </c>
      <c r="U21" s="6">
        <v>12</v>
      </c>
      <c r="W21" s="6">
        <v>2</v>
      </c>
      <c r="X21" s="6">
        <v>1.9292084</v>
      </c>
      <c r="Y21" s="6">
        <v>33.211635999999999</v>
      </c>
      <c r="Z21" s="6">
        <v>29.910378000000001</v>
      </c>
      <c r="AA21" s="6">
        <v>310</v>
      </c>
      <c r="AB21" s="6"/>
      <c r="AC21" s="6"/>
      <c r="AD21" s="6"/>
      <c r="AE21" s="6" t="b">
        <v>0</v>
      </c>
      <c r="AF21" s="6" t="b">
        <v>0</v>
      </c>
      <c r="AH21" s="6">
        <v>310</v>
      </c>
      <c r="AK21" s="6">
        <v>2.7397260000000001</v>
      </c>
      <c r="AL21" s="6"/>
      <c r="AM21" s="6">
        <v>12</v>
      </c>
      <c r="AN21" s="6">
        <v>38</v>
      </c>
      <c r="AO21" s="6">
        <v>91</v>
      </c>
      <c r="AP21" s="6">
        <v>163</v>
      </c>
      <c r="AQ21" s="6">
        <v>137</v>
      </c>
      <c r="AR21" s="6">
        <v>145</v>
      </c>
      <c r="AS21" s="6">
        <v>153</v>
      </c>
      <c r="AT21" s="6">
        <v>162</v>
      </c>
      <c r="AU21" s="6">
        <v>166</v>
      </c>
      <c r="AV21" s="6">
        <v>171</v>
      </c>
      <c r="AW21" s="6">
        <v>175</v>
      </c>
      <c r="AX21" s="6">
        <v>2718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/>
      <c r="BF21" s="6"/>
      <c r="BG21" s="6"/>
      <c r="BH21" s="6"/>
      <c r="BI21" s="6"/>
      <c r="BJ21" s="6"/>
      <c r="BK21" s="6"/>
      <c r="BL21" s="6"/>
      <c r="BM21" s="6">
        <v>95</v>
      </c>
      <c r="BN21" s="6" t="b">
        <v>0</v>
      </c>
      <c r="BO21" s="6" t="b">
        <v>0</v>
      </c>
      <c r="BP21" s="6" t="b">
        <v>0</v>
      </c>
      <c r="BQ21" s="6">
        <v>2716</v>
      </c>
      <c r="BR21" s="6">
        <v>300</v>
      </c>
      <c r="BS21" s="6">
        <v>300</v>
      </c>
      <c r="BW21" s="6"/>
      <c r="BX21" s="6"/>
      <c r="BY21" s="6"/>
      <c r="BZ21" s="6"/>
      <c r="CA21" s="6" t="s">
        <v>270</v>
      </c>
      <c r="CB21" s="6" t="s">
        <v>271</v>
      </c>
      <c r="CD21" s="6" t="s">
        <v>196</v>
      </c>
      <c r="CE21" s="6">
        <v>22760527719</v>
      </c>
      <c r="CF21" s="6">
        <v>200</v>
      </c>
    </row>
    <row r="22" spans="1:84" x14ac:dyDescent="0.2">
      <c r="A22" s="6" t="s">
        <v>272</v>
      </c>
      <c r="B22" s="24">
        <v>46144.210856481484</v>
      </c>
      <c r="C22" s="6" t="s">
        <v>273</v>
      </c>
      <c r="D22" s="6" t="s">
        <v>199</v>
      </c>
      <c r="E22" s="6">
        <v>5435</v>
      </c>
      <c r="F22" s="6">
        <v>10987.34</v>
      </c>
      <c r="G22" s="6">
        <v>5436</v>
      </c>
      <c r="H22" s="6">
        <v>110.62598</v>
      </c>
      <c r="I22" s="6">
        <v>2.2389999999999999</v>
      </c>
      <c r="J22" s="6">
        <v>2.0209999999999999</v>
      </c>
      <c r="K22" s="6" t="b">
        <v>1</v>
      </c>
      <c r="L22" s="6">
        <v>129</v>
      </c>
      <c r="M22" s="6">
        <v>123</v>
      </c>
      <c r="N22" s="6">
        <v>80.843440000000001</v>
      </c>
      <c r="O22" s="6">
        <v>894</v>
      </c>
      <c r="P22" s="6"/>
      <c r="Q22" s="6"/>
      <c r="R22" s="6"/>
      <c r="S22" s="6"/>
      <c r="T22" s="6">
        <v>32.55453</v>
      </c>
      <c r="U22" s="6">
        <v>16</v>
      </c>
      <c r="W22" s="6">
        <v>2</v>
      </c>
      <c r="X22" s="6">
        <v>2.0215898000000001</v>
      </c>
      <c r="Y22" s="6">
        <v>42.069363000000003</v>
      </c>
      <c r="Z22" s="6">
        <v>31.073028999999998</v>
      </c>
      <c r="AA22" s="6">
        <v>310</v>
      </c>
      <c r="AB22" s="6"/>
      <c r="AC22" s="6"/>
      <c r="AD22" s="6"/>
      <c r="AE22" s="6" t="b">
        <v>0</v>
      </c>
      <c r="AF22" s="6" t="b">
        <v>0</v>
      </c>
      <c r="AH22" s="6">
        <v>310</v>
      </c>
      <c r="AK22" s="6">
        <v>2.7397260000000001</v>
      </c>
      <c r="AL22" s="6"/>
      <c r="AM22" s="6">
        <v>16</v>
      </c>
      <c r="AN22" s="6">
        <v>84</v>
      </c>
      <c r="AO22" s="6">
        <v>106</v>
      </c>
      <c r="AP22" s="6">
        <v>163</v>
      </c>
      <c r="AQ22" s="6">
        <v>137</v>
      </c>
      <c r="AR22" s="6">
        <v>145</v>
      </c>
      <c r="AS22" s="6">
        <v>153</v>
      </c>
      <c r="AT22" s="6">
        <v>162</v>
      </c>
      <c r="AU22" s="6">
        <v>166</v>
      </c>
      <c r="AV22" s="6">
        <v>171</v>
      </c>
      <c r="AW22" s="6">
        <v>175</v>
      </c>
      <c r="AX22" s="6">
        <v>5437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/>
      <c r="BF22" s="6"/>
      <c r="BG22" s="6"/>
      <c r="BH22" s="6"/>
      <c r="BI22" s="6"/>
      <c r="BJ22" s="6"/>
      <c r="BK22" s="6"/>
      <c r="BL22" s="6"/>
      <c r="BM22" s="6">
        <v>95</v>
      </c>
      <c r="BN22" s="6" t="b">
        <v>0</v>
      </c>
      <c r="BO22" s="6" t="b">
        <v>0</v>
      </c>
      <c r="BP22" s="6" t="b">
        <v>0</v>
      </c>
      <c r="BQ22" s="6">
        <v>5435</v>
      </c>
      <c r="BR22" s="6">
        <v>300</v>
      </c>
      <c r="BS22" s="6">
        <v>300</v>
      </c>
      <c r="BW22" s="6"/>
      <c r="BX22" s="6"/>
      <c r="BY22" s="6"/>
      <c r="BZ22" s="6"/>
      <c r="CA22" s="6" t="s">
        <v>274</v>
      </c>
      <c r="CB22" s="6" t="s">
        <v>275</v>
      </c>
      <c r="CD22" s="6" t="s">
        <v>196</v>
      </c>
      <c r="CE22" s="25">
        <v>22737338955</v>
      </c>
      <c r="CF22" s="6">
        <v>34.782608000000003</v>
      </c>
    </row>
    <row r="23" spans="1:84" x14ac:dyDescent="0.2">
      <c r="A23" s="6" t="s">
        <v>276</v>
      </c>
      <c r="B23" s="24">
        <v>46143.000578703701</v>
      </c>
      <c r="C23" s="6" t="s">
        <v>277</v>
      </c>
      <c r="D23" s="6" t="s">
        <v>208</v>
      </c>
      <c r="E23" s="6">
        <v>3005</v>
      </c>
      <c r="F23" s="6">
        <v>19366.740000000002</v>
      </c>
      <c r="G23" s="6">
        <v>3009</v>
      </c>
      <c r="H23" s="6">
        <v>230</v>
      </c>
      <c r="I23" s="6">
        <v>16.061</v>
      </c>
      <c r="J23" s="6">
        <v>6.4340000000000002</v>
      </c>
      <c r="K23" s="6" t="b">
        <v>1</v>
      </c>
      <c r="L23" s="6">
        <v>132</v>
      </c>
      <c r="M23" s="6">
        <v>116</v>
      </c>
      <c r="N23" s="6">
        <v>75.715805000000003</v>
      </c>
      <c r="O23" s="6">
        <v>372</v>
      </c>
      <c r="P23" s="6" t="b">
        <v>1</v>
      </c>
      <c r="Q23" s="6">
        <v>130</v>
      </c>
      <c r="R23" s="6">
        <v>131</v>
      </c>
      <c r="S23" s="6">
        <v>389953</v>
      </c>
      <c r="T23" s="6">
        <v>55.744681999999997</v>
      </c>
      <c r="U23" s="6">
        <v>26</v>
      </c>
      <c r="W23" s="6"/>
      <c r="X23" s="6">
        <v>6.4448385000000004</v>
      </c>
      <c r="Y23" s="6">
        <v>46.072704000000002</v>
      </c>
      <c r="Z23" s="6">
        <v>31.436216000000002</v>
      </c>
      <c r="AA23" s="6">
        <v>234</v>
      </c>
      <c r="AB23" s="6">
        <v>1.0076923</v>
      </c>
      <c r="AC23" s="6">
        <v>1.1293104</v>
      </c>
      <c r="AD23" s="6" t="b">
        <v>1</v>
      </c>
      <c r="AE23" s="6" t="b">
        <v>0</v>
      </c>
      <c r="AF23" s="6" t="b">
        <v>0</v>
      </c>
      <c r="AH23" s="6">
        <v>235</v>
      </c>
      <c r="AK23" s="6"/>
      <c r="AL23" s="6">
        <v>26</v>
      </c>
      <c r="AM23" s="6">
        <v>19</v>
      </c>
      <c r="AN23" s="6"/>
      <c r="AO23" s="6">
        <v>60</v>
      </c>
      <c r="AP23" s="6">
        <v>159</v>
      </c>
      <c r="AQ23" s="6">
        <v>127</v>
      </c>
      <c r="AR23" s="6">
        <v>142</v>
      </c>
      <c r="AS23" s="6">
        <v>148</v>
      </c>
      <c r="AT23" s="6">
        <v>158</v>
      </c>
      <c r="AU23" s="6">
        <v>162</v>
      </c>
      <c r="AV23" s="6">
        <v>167</v>
      </c>
      <c r="AW23" s="6">
        <v>175</v>
      </c>
      <c r="AX23" s="6">
        <v>2806</v>
      </c>
      <c r="AY23" s="6">
        <v>199</v>
      </c>
      <c r="AZ23" s="6">
        <v>0</v>
      </c>
      <c r="BA23" s="6">
        <v>0</v>
      </c>
      <c r="BB23" s="6">
        <v>0</v>
      </c>
      <c r="BC23" s="6">
        <v>0</v>
      </c>
      <c r="BD23" s="6">
        <v>0</v>
      </c>
      <c r="BE23" s="6">
        <v>1464</v>
      </c>
      <c r="BF23" s="6">
        <v>1541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95</v>
      </c>
      <c r="BN23" s="6" t="b">
        <v>0</v>
      </c>
      <c r="BO23" s="6" t="b">
        <v>0</v>
      </c>
      <c r="BP23" s="6" t="b">
        <v>0</v>
      </c>
      <c r="BQ23" s="6">
        <v>3008</v>
      </c>
      <c r="BR23" s="6">
        <v>0</v>
      </c>
      <c r="BS23" s="6">
        <v>0</v>
      </c>
      <c r="BW23" s="6">
        <v>132</v>
      </c>
      <c r="BX23" s="6">
        <v>130</v>
      </c>
      <c r="BY23" s="6">
        <v>9908</v>
      </c>
      <c r="BZ23" s="6">
        <v>178</v>
      </c>
      <c r="CA23" s="6" t="s">
        <v>278</v>
      </c>
      <c r="CB23" s="6" t="s">
        <v>279</v>
      </c>
      <c r="CD23" s="6" t="s">
        <v>196</v>
      </c>
      <c r="CE23" s="25">
        <v>2.12825E+18</v>
      </c>
      <c r="CF23" s="6">
        <v>100</v>
      </c>
    </row>
    <row r="24" spans="1:84" x14ac:dyDescent="0.2">
      <c r="A24" s="6" t="s">
        <v>280</v>
      </c>
      <c r="B24" s="24">
        <v>46142.255682870367</v>
      </c>
      <c r="C24" s="6" t="s">
        <v>212</v>
      </c>
      <c r="D24" s="6" t="s">
        <v>199</v>
      </c>
      <c r="E24" s="6">
        <v>2699</v>
      </c>
      <c r="F24" s="6">
        <v>5612.83</v>
      </c>
      <c r="G24" s="6">
        <v>2700</v>
      </c>
      <c r="H24" s="6">
        <v>26.939453</v>
      </c>
      <c r="I24" s="6">
        <v>2.5289999999999999</v>
      </c>
      <c r="J24" s="6">
        <v>2.0790000000000002</v>
      </c>
      <c r="K24" s="6" t="b">
        <v>1</v>
      </c>
      <c r="L24" s="6">
        <v>128</v>
      </c>
      <c r="M24" s="6">
        <v>122</v>
      </c>
      <c r="N24" s="6">
        <v>81.079599999999999</v>
      </c>
      <c r="O24" s="6">
        <v>469</v>
      </c>
      <c r="P24" s="6"/>
      <c r="Q24" s="6"/>
      <c r="R24" s="6"/>
      <c r="S24" s="6"/>
      <c r="T24" s="6">
        <v>50.341552999999998</v>
      </c>
      <c r="U24" s="6">
        <v>19</v>
      </c>
      <c r="W24" s="6"/>
      <c r="X24" s="6">
        <v>2.0795963</v>
      </c>
      <c r="Y24" s="6">
        <v>49.155169999999998</v>
      </c>
      <c r="Z24" s="6">
        <v>31.567204</v>
      </c>
      <c r="AA24" s="6">
        <v>310</v>
      </c>
      <c r="AB24" s="6"/>
      <c r="AC24" s="6"/>
      <c r="AD24" s="6"/>
      <c r="AE24" s="6" t="b">
        <v>0</v>
      </c>
      <c r="AF24" s="6" t="b">
        <v>0</v>
      </c>
      <c r="AH24" s="6">
        <v>310</v>
      </c>
      <c r="AK24" s="6">
        <v>2.7397260000000001</v>
      </c>
      <c r="AL24" s="6"/>
      <c r="AM24" s="6">
        <v>19</v>
      </c>
      <c r="AN24" s="6">
        <v>43</v>
      </c>
      <c r="AO24" s="6">
        <v>58</v>
      </c>
      <c r="AP24" s="6">
        <v>163</v>
      </c>
      <c r="AQ24" s="6">
        <v>137</v>
      </c>
      <c r="AR24" s="6">
        <v>145</v>
      </c>
      <c r="AS24" s="6">
        <v>153</v>
      </c>
      <c r="AT24" s="6">
        <v>162</v>
      </c>
      <c r="AU24" s="6">
        <v>166</v>
      </c>
      <c r="AV24" s="6">
        <v>171</v>
      </c>
      <c r="AW24" s="6">
        <v>175</v>
      </c>
      <c r="AX24" s="6">
        <v>2701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/>
      <c r="BF24" s="6"/>
      <c r="BG24" s="6"/>
      <c r="BH24" s="6"/>
      <c r="BI24" s="6"/>
      <c r="BJ24" s="6"/>
      <c r="BK24" s="6"/>
      <c r="BL24" s="6"/>
      <c r="BM24" s="6">
        <v>95</v>
      </c>
      <c r="BN24" s="6" t="b">
        <v>0</v>
      </c>
      <c r="BO24" s="6" t="b">
        <v>0</v>
      </c>
      <c r="BP24" s="6" t="b">
        <v>0</v>
      </c>
      <c r="BQ24" s="6">
        <v>2699</v>
      </c>
      <c r="BR24" s="6">
        <v>300</v>
      </c>
      <c r="BS24" s="6">
        <v>300</v>
      </c>
      <c r="BW24" s="6"/>
      <c r="BX24" s="6"/>
      <c r="BY24" s="6"/>
      <c r="BZ24" s="6"/>
      <c r="CA24" s="6" t="s">
        <v>281</v>
      </c>
      <c r="CB24" s="6" t="s">
        <v>282</v>
      </c>
      <c r="CD24" s="6" t="s">
        <v>196</v>
      </c>
      <c r="CE24" s="25">
        <v>22713541401</v>
      </c>
      <c r="CF24" s="6">
        <v>82.608695999999995</v>
      </c>
    </row>
    <row r="25" spans="1:84" x14ac:dyDescent="0.2">
      <c r="A25" s="6" t="s">
        <v>283</v>
      </c>
      <c r="B25" s="24">
        <v>46141.300509259258</v>
      </c>
      <c r="C25" s="6" t="s">
        <v>284</v>
      </c>
      <c r="D25" s="6" t="s">
        <v>208</v>
      </c>
      <c r="E25" s="6">
        <v>4822</v>
      </c>
      <c r="F25" s="6">
        <v>37024.97</v>
      </c>
      <c r="G25" s="6">
        <v>4829</v>
      </c>
      <c r="H25" s="6">
        <v>435</v>
      </c>
      <c r="I25" s="6">
        <v>18.887</v>
      </c>
      <c r="J25" s="6">
        <v>7.6669999999999998</v>
      </c>
      <c r="K25" s="6" t="b">
        <v>1</v>
      </c>
      <c r="L25" s="6">
        <v>159</v>
      </c>
      <c r="M25" s="6">
        <v>140</v>
      </c>
      <c r="N25" s="6">
        <v>70.309105000000002</v>
      </c>
      <c r="O25" s="6">
        <v>811</v>
      </c>
      <c r="P25" s="6" t="b">
        <v>1</v>
      </c>
      <c r="Q25" s="6">
        <v>176</v>
      </c>
      <c r="R25" s="6">
        <v>190</v>
      </c>
      <c r="S25" s="6">
        <v>849684</v>
      </c>
      <c r="T25" s="6">
        <v>80.851070000000007</v>
      </c>
      <c r="U25" s="6">
        <v>88</v>
      </c>
      <c r="W25" s="6">
        <v>7</v>
      </c>
      <c r="X25" s="6">
        <v>7.6783429999999999</v>
      </c>
      <c r="Y25" s="6">
        <v>53.78595</v>
      </c>
      <c r="Z25" s="6">
        <v>31.870011999999999</v>
      </c>
      <c r="AA25" s="6">
        <v>234</v>
      </c>
      <c r="AB25" s="6">
        <v>1.0795455</v>
      </c>
      <c r="AC25" s="6">
        <v>1.3571428000000001</v>
      </c>
      <c r="AD25" s="6" t="b">
        <v>1</v>
      </c>
      <c r="AE25" s="6" t="b">
        <v>0</v>
      </c>
      <c r="AF25" s="6" t="b">
        <v>0</v>
      </c>
      <c r="AH25" s="6">
        <v>235</v>
      </c>
      <c r="AK25" s="6"/>
      <c r="AL25" s="6">
        <v>88</v>
      </c>
      <c r="AM25" s="6">
        <v>83</v>
      </c>
      <c r="AN25" s="6"/>
      <c r="AO25" s="6">
        <v>62</v>
      </c>
      <c r="AP25" s="6">
        <v>159</v>
      </c>
      <c r="AQ25" s="6">
        <v>127</v>
      </c>
      <c r="AR25" s="6">
        <v>142</v>
      </c>
      <c r="AS25" s="6">
        <v>148</v>
      </c>
      <c r="AT25" s="6">
        <v>158</v>
      </c>
      <c r="AU25" s="6">
        <v>162</v>
      </c>
      <c r="AV25" s="6">
        <v>167</v>
      </c>
      <c r="AW25" s="6">
        <v>175</v>
      </c>
      <c r="AX25" s="6">
        <v>825</v>
      </c>
      <c r="AY25" s="6">
        <v>1347</v>
      </c>
      <c r="AZ25" s="6">
        <v>894</v>
      </c>
      <c r="BA25" s="6">
        <v>1754</v>
      </c>
      <c r="BB25" s="6">
        <v>2</v>
      </c>
      <c r="BC25" s="6">
        <v>0</v>
      </c>
      <c r="BD25" s="6">
        <v>0</v>
      </c>
      <c r="BE25" s="6">
        <v>1056</v>
      </c>
      <c r="BF25" s="6">
        <v>1120</v>
      </c>
      <c r="BG25" s="6">
        <v>273</v>
      </c>
      <c r="BH25" s="6">
        <v>2373</v>
      </c>
      <c r="BI25" s="6">
        <v>0</v>
      </c>
      <c r="BJ25" s="6">
        <v>0</v>
      </c>
      <c r="BK25" s="6">
        <v>0</v>
      </c>
      <c r="BL25" s="6">
        <v>2577</v>
      </c>
      <c r="BM25" s="6">
        <v>95</v>
      </c>
      <c r="BN25" s="6" t="b">
        <v>0</v>
      </c>
      <c r="BO25" s="6" t="b">
        <v>0</v>
      </c>
      <c r="BP25" s="6" t="b">
        <v>0</v>
      </c>
      <c r="BQ25" s="6">
        <v>4828</v>
      </c>
      <c r="BR25" s="6">
        <v>1200</v>
      </c>
      <c r="BS25" s="6">
        <v>600</v>
      </c>
      <c r="BT25" s="6"/>
      <c r="BU25" s="6"/>
      <c r="BW25" s="6">
        <v>199</v>
      </c>
      <c r="BX25" s="6">
        <v>194</v>
      </c>
      <c r="BY25" s="6">
        <v>18936</v>
      </c>
      <c r="BZ25" s="6">
        <v>254</v>
      </c>
      <c r="CA25" s="6" t="s">
        <v>285</v>
      </c>
      <c r="CB25" s="6" t="s">
        <v>286</v>
      </c>
      <c r="CD25" s="6" t="s">
        <v>196</v>
      </c>
      <c r="CE25" s="25">
        <v>2.12701E+18</v>
      </c>
      <c r="CF25" s="6">
        <v>96.703299999999999</v>
      </c>
    </row>
    <row r="26" spans="1:84" x14ac:dyDescent="0.2">
      <c r="A26" s="6" t="s">
        <v>287</v>
      </c>
      <c r="B26" s="24">
        <v>46140.236261574071</v>
      </c>
      <c r="C26" s="6" t="s">
        <v>288</v>
      </c>
      <c r="D26" s="6" t="s">
        <v>193</v>
      </c>
      <c r="E26" s="6">
        <v>9037</v>
      </c>
      <c r="F26" s="6">
        <v>41859.56</v>
      </c>
      <c r="G26" s="6">
        <v>9045</v>
      </c>
      <c r="H26" s="6">
        <v>494</v>
      </c>
      <c r="I26" s="6">
        <v>11.840999999999999</v>
      </c>
      <c r="J26" s="6">
        <v>4.6289999999999996</v>
      </c>
      <c r="K26" s="6" t="b">
        <v>1</v>
      </c>
      <c r="L26" s="6">
        <v>146</v>
      </c>
      <c r="M26" s="6">
        <v>121</v>
      </c>
      <c r="N26" s="6">
        <v>75.040679999999995</v>
      </c>
      <c r="O26" s="6">
        <v>1453</v>
      </c>
      <c r="P26" s="6" t="b">
        <v>1</v>
      </c>
      <c r="Q26" s="6">
        <v>135</v>
      </c>
      <c r="R26" s="6">
        <v>159</v>
      </c>
      <c r="S26" s="6">
        <v>1220986</v>
      </c>
      <c r="T26" s="6">
        <v>69.736840000000001</v>
      </c>
      <c r="U26" s="6">
        <v>122</v>
      </c>
      <c r="W26" s="6"/>
      <c r="X26" s="6">
        <v>4.6320195000000002</v>
      </c>
      <c r="Y26" s="6">
        <v>48.531868000000003</v>
      </c>
      <c r="Z26" s="6">
        <v>30.517548000000001</v>
      </c>
      <c r="AA26" s="6">
        <v>234</v>
      </c>
      <c r="AB26" s="6">
        <v>1.1777778000000001</v>
      </c>
      <c r="AC26" s="6">
        <v>1.3140495999999999</v>
      </c>
      <c r="AE26" s="6" t="b">
        <v>0</v>
      </c>
      <c r="AF26" s="6" t="b">
        <v>0</v>
      </c>
      <c r="AH26" s="6">
        <v>228</v>
      </c>
      <c r="AK26" s="6"/>
      <c r="AL26" s="6">
        <v>122</v>
      </c>
      <c r="AM26" s="6">
        <v>84</v>
      </c>
      <c r="AN26" s="6"/>
      <c r="AO26" s="6">
        <v>62</v>
      </c>
      <c r="AP26" s="6">
        <v>159</v>
      </c>
      <c r="AQ26" s="6">
        <v>127</v>
      </c>
      <c r="AR26" s="6">
        <v>142</v>
      </c>
      <c r="AS26" s="6">
        <v>148</v>
      </c>
      <c r="AT26" s="6">
        <v>158</v>
      </c>
      <c r="AU26" s="6">
        <v>162</v>
      </c>
      <c r="AV26" s="6">
        <v>167</v>
      </c>
      <c r="AW26" s="6">
        <v>175</v>
      </c>
      <c r="AX26" s="6">
        <v>6706</v>
      </c>
      <c r="AY26" s="6">
        <v>2263</v>
      </c>
      <c r="AZ26" s="6">
        <v>68</v>
      </c>
      <c r="BA26" s="6">
        <v>0</v>
      </c>
      <c r="BB26" s="6">
        <v>0</v>
      </c>
      <c r="BC26" s="6">
        <v>0</v>
      </c>
      <c r="BD26" s="6">
        <v>0</v>
      </c>
      <c r="BE26" s="6">
        <v>2942</v>
      </c>
      <c r="BF26" s="6">
        <v>3508</v>
      </c>
      <c r="BG26" s="6">
        <v>1422</v>
      </c>
      <c r="BH26" s="6">
        <v>695</v>
      </c>
      <c r="BI26" s="6">
        <v>356</v>
      </c>
      <c r="BJ26" s="6">
        <v>105</v>
      </c>
      <c r="BK26" s="6">
        <v>9</v>
      </c>
      <c r="BL26" s="6">
        <v>906</v>
      </c>
      <c r="BM26" s="6">
        <v>95</v>
      </c>
      <c r="BN26" s="6" t="b">
        <v>0</v>
      </c>
      <c r="BO26" s="6" t="b">
        <v>0</v>
      </c>
      <c r="BP26" s="6" t="b">
        <v>0</v>
      </c>
      <c r="BQ26" s="6">
        <v>9043</v>
      </c>
      <c r="BR26" s="6">
        <v>1200</v>
      </c>
      <c r="BS26" s="6">
        <v>600</v>
      </c>
      <c r="BT26" s="6"/>
      <c r="BU26" s="6"/>
      <c r="BW26" s="6">
        <v>165</v>
      </c>
      <c r="BX26" s="6">
        <v>161</v>
      </c>
      <c r="BY26" s="6">
        <v>14708</v>
      </c>
      <c r="BZ26" s="6">
        <v>430</v>
      </c>
      <c r="CA26" s="6" t="s">
        <v>289</v>
      </c>
      <c r="CB26" s="6" t="s">
        <v>290</v>
      </c>
      <c r="CD26" s="6" t="s">
        <v>196</v>
      </c>
      <c r="CE26" s="6">
        <v>22689959211</v>
      </c>
      <c r="CF26" s="6">
        <v>120.79207599999999</v>
      </c>
    </row>
    <row r="27" spans="1:84" x14ac:dyDescent="0.2">
      <c r="A27" s="6" t="s">
        <v>291</v>
      </c>
      <c r="B27" s="24">
        <v>46139.469780092593</v>
      </c>
      <c r="C27" s="6" t="s">
        <v>292</v>
      </c>
      <c r="D27" s="6" t="s">
        <v>199</v>
      </c>
      <c r="E27" s="6">
        <v>2406</v>
      </c>
      <c r="F27" s="6">
        <v>5416.88</v>
      </c>
      <c r="G27" s="6">
        <v>2407</v>
      </c>
      <c r="H27" s="6">
        <v>63.726320000000001</v>
      </c>
      <c r="I27" s="6">
        <v>3.5640000000000001</v>
      </c>
      <c r="J27" s="6">
        <v>2.2509999999999999</v>
      </c>
      <c r="K27" s="6" t="b">
        <v>1</v>
      </c>
      <c r="L27" s="6">
        <v>171</v>
      </c>
      <c r="M27" s="6">
        <v>141</v>
      </c>
      <c r="N27" s="6">
        <v>81.687889999999996</v>
      </c>
      <c r="O27" s="6">
        <v>464</v>
      </c>
      <c r="P27" s="6"/>
      <c r="Q27" s="6"/>
      <c r="R27" s="6"/>
      <c r="S27" s="6"/>
      <c r="T27" s="6">
        <v>77.363020000000006</v>
      </c>
      <c r="U27" s="6">
        <v>40</v>
      </c>
      <c r="W27" s="6">
        <v>5</v>
      </c>
      <c r="X27" s="6">
        <v>2.2514048</v>
      </c>
      <c r="Y27" s="6">
        <v>37.249732999999999</v>
      </c>
      <c r="Z27" s="6">
        <v>28.313257</v>
      </c>
      <c r="AA27" s="6">
        <v>310</v>
      </c>
      <c r="AB27" s="6"/>
      <c r="AC27" s="6"/>
      <c r="AD27" s="6"/>
      <c r="AE27" s="6" t="b">
        <v>0</v>
      </c>
      <c r="AF27" s="6" t="b">
        <v>0</v>
      </c>
      <c r="AH27" s="6">
        <v>310</v>
      </c>
      <c r="AK27" s="6">
        <v>2.2727273000000001</v>
      </c>
      <c r="AL27" s="6"/>
      <c r="AM27" s="6">
        <v>40</v>
      </c>
      <c r="AN27" s="6">
        <v>67</v>
      </c>
      <c r="AO27" s="6">
        <v>62</v>
      </c>
      <c r="AP27" s="6">
        <v>163</v>
      </c>
      <c r="AQ27" s="6">
        <v>137</v>
      </c>
      <c r="AR27" s="6">
        <v>145</v>
      </c>
      <c r="AS27" s="6">
        <v>153</v>
      </c>
      <c r="AT27" s="6">
        <v>162</v>
      </c>
      <c r="AU27" s="6">
        <v>166</v>
      </c>
      <c r="AV27" s="6">
        <v>171</v>
      </c>
      <c r="AW27" s="6">
        <v>175</v>
      </c>
      <c r="AX27" s="6">
        <v>1212</v>
      </c>
      <c r="AY27" s="6">
        <v>447</v>
      </c>
      <c r="AZ27" s="6">
        <v>88</v>
      </c>
      <c r="BA27" s="6">
        <v>226</v>
      </c>
      <c r="BB27" s="6">
        <v>171</v>
      </c>
      <c r="BC27" s="6">
        <v>264</v>
      </c>
      <c r="BD27" s="6">
        <v>0</v>
      </c>
      <c r="BE27" s="6"/>
      <c r="BF27" s="6"/>
      <c r="BG27" s="6"/>
      <c r="BH27" s="6"/>
      <c r="BI27" s="6"/>
      <c r="BJ27" s="6"/>
      <c r="BK27" s="6"/>
      <c r="BL27" s="6"/>
      <c r="BM27" s="6">
        <v>95</v>
      </c>
      <c r="BN27" s="6" t="b">
        <v>0</v>
      </c>
      <c r="BO27" s="6" t="b">
        <v>0</v>
      </c>
      <c r="BP27" s="6" t="b">
        <v>0</v>
      </c>
      <c r="BQ27" s="6">
        <v>2406</v>
      </c>
      <c r="BR27" s="6">
        <v>300</v>
      </c>
      <c r="BS27" s="6">
        <v>300</v>
      </c>
      <c r="BT27" s="6">
        <v>13</v>
      </c>
      <c r="BU27" s="6">
        <v>170</v>
      </c>
      <c r="BW27" s="6"/>
      <c r="BX27" s="6"/>
      <c r="BY27" s="6"/>
      <c r="BZ27" s="6"/>
      <c r="CA27" s="6" t="s">
        <v>293</v>
      </c>
      <c r="CB27" s="6" t="s">
        <v>282</v>
      </c>
      <c r="CD27" s="6" t="s">
        <v>196</v>
      </c>
      <c r="CE27" s="6">
        <v>22680649961</v>
      </c>
      <c r="CF27" s="6">
        <v>100.25</v>
      </c>
    </row>
    <row r="28" spans="1:84" x14ac:dyDescent="0.2">
      <c r="A28" s="6" t="s">
        <v>294</v>
      </c>
      <c r="B28" s="24">
        <v>46137.266377314816</v>
      </c>
      <c r="C28" s="6" t="s">
        <v>212</v>
      </c>
      <c r="D28" s="6" t="s">
        <v>199</v>
      </c>
      <c r="E28" s="6">
        <v>4507</v>
      </c>
      <c r="F28" s="6">
        <v>10443.33</v>
      </c>
      <c r="G28" s="6">
        <v>4508</v>
      </c>
      <c r="H28" s="6">
        <v>60.090331999999997</v>
      </c>
      <c r="I28" s="6">
        <v>2.5099999999999998</v>
      </c>
      <c r="J28" s="6">
        <v>2.3170000000000002</v>
      </c>
      <c r="K28" s="6" t="b">
        <v>1</v>
      </c>
      <c r="L28" s="6">
        <v>139</v>
      </c>
      <c r="M28" s="6">
        <v>134</v>
      </c>
      <c r="N28" s="6">
        <v>82.385009999999994</v>
      </c>
      <c r="O28" s="6">
        <v>902</v>
      </c>
      <c r="P28" s="6"/>
      <c r="Q28" s="6"/>
      <c r="R28" s="6"/>
      <c r="S28" s="6"/>
      <c r="T28" s="6">
        <v>41.919759999999997</v>
      </c>
      <c r="U28" s="6">
        <v>22</v>
      </c>
      <c r="W28" s="6">
        <v>3</v>
      </c>
      <c r="X28" s="6">
        <v>2.3171355999999999</v>
      </c>
      <c r="Y28" s="6">
        <v>42.482787999999999</v>
      </c>
      <c r="Z28" s="6">
        <v>28.707091999999999</v>
      </c>
      <c r="AA28" s="6">
        <v>310</v>
      </c>
      <c r="AB28" s="6"/>
      <c r="AC28" s="6"/>
      <c r="AD28" s="6"/>
      <c r="AE28" s="6" t="b">
        <v>0</v>
      </c>
      <c r="AF28" s="6" t="b">
        <v>0</v>
      </c>
      <c r="AH28" s="6">
        <v>310</v>
      </c>
      <c r="AK28" s="6">
        <v>2.2727273000000001</v>
      </c>
      <c r="AL28" s="6"/>
      <c r="AM28" s="6">
        <v>22</v>
      </c>
      <c r="AN28" s="6">
        <v>130</v>
      </c>
      <c r="AO28" s="6">
        <v>112</v>
      </c>
      <c r="AP28" s="6">
        <v>163</v>
      </c>
      <c r="AQ28" s="6">
        <v>137</v>
      </c>
      <c r="AR28" s="6">
        <v>145</v>
      </c>
      <c r="AS28" s="6">
        <v>153</v>
      </c>
      <c r="AT28" s="6">
        <v>162</v>
      </c>
      <c r="AU28" s="6">
        <v>166</v>
      </c>
      <c r="AV28" s="6">
        <v>171</v>
      </c>
      <c r="AW28" s="6">
        <v>175</v>
      </c>
      <c r="AX28" s="6">
        <v>4420</v>
      </c>
      <c r="AY28" s="6">
        <v>89</v>
      </c>
      <c r="AZ28" s="6">
        <v>0</v>
      </c>
      <c r="BA28" s="6">
        <v>0</v>
      </c>
      <c r="BB28" s="6">
        <v>0</v>
      </c>
      <c r="BC28" s="6">
        <v>0</v>
      </c>
      <c r="BD28" s="6">
        <v>0</v>
      </c>
      <c r="BE28" s="6"/>
      <c r="BF28" s="6"/>
      <c r="BG28" s="6"/>
      <c r="BH28" s="6"/>
      <c r="BI28" s="6"/>
      <c r="BJ28" s="6"/>
      <c r="BK28" s="6"/>
      <c r="BL28" s="6"/>
      <c r="BM28" s="6">
        <v>95</v>
      </c>
      <c r="BN28" s="6" t="b">
        <v>0</v>
      </c>
      <c r="BO28" s="6" t="b">
        <v>0</v>
      </c>
      <c r="BP28" s="6" t="b">
        <v>0</v>
      </c>
      <c r="BQ28" s="6">
        <v>4507</v>
      </c>
      <c r="BR28" s="6">
        <v>300</v>
      </c>
      <c r="BS28" s="6">
        <v>300</v>
      </c>
      <c r="BW28" s="6"/>
      <c r="BX28" s="6"/>
      <c r="BY28" s="6"/>
      <c r="BZ28" s="6"/>
      <c r="CA28" s="6" t="s">
        <v>295</v>
      </c>
      <c r="CB28" s="6" t="s">
        <v>282</v>
      </c>
      <c r="CD28" s="6" t="s">
        <v>196</v>
      </c>
      <c r="CE28" s="25">
        <v>22654343918</v>
      </c>
      <c r="CF28" s="6">
        <v>37.288136000000002</v>
      </c>
    </row>
    <row r="29" spans="1:84" x14ac:dyDescent="0.2">
      <c r="A29" s="6" t="s">
        <v>296</v>
      </c>
      <c r="B29" s="24">
        <v>46136.278182870374</v>
      </c>
      <c r="C29" s="6" t="s">
        <v>297</v>
      </c>
      <c r="D29" s="6" t="s">
        <v>208</v>
      </c>
      <c r="E29" s="6">
        <v>3328</v>
      </c>
      <c r="F29" s="6">
        <v>24785.4</v>
      </c>
      <c r="G29" s="6">
        <v>3330</v>
      </c>
      <c r="H29" s="6">
        <v>93</v>
      </c>
      <c r="I29" s="6">
        <v>12.813000000000001</v>
      </c>
      <c r="J29" s="6">
        <v>7.44</v>
      </c>
      <c r="K29" s="6" t="b">
        <v>1</v>
      </c>
      <c r="L29" s="6">
        <v>131</v>
      </c>
      <c r="M29" s="6">
        <v>110</v>
      </c>
      <c r="N29" s="6">
        <v>75.902959999999993</v>
      </c>
      <c r="O29" s="6">
        <v>417</v>
      </c>
      <c r="P29" s="6" t="b">
        <v>1</v>
      </c>
      <c r="Q29" s="6">
        <v>131</v>
      </c>
      <c r="R29" s="6">
        <v>133</v>
      </c>
      <c r="S29" s="6">
        <v>436880</v>
      </c>
      <c r="T29" s="6">
        <v>56.595745000000001</v>
      </c>
      <c r="U29" s="6">
        <v>30</v>
      </c>
      <c r="W29" s="6"/>
      <c r="X29" s="6">
        <v>7.4475360000000004</v>
      </c>
      <c r="Y29" s="6">
        <v>45.628227000000003</v>
      </c>
      <c r="Z29" s="6">
        <v>28.868701999999999</v>
      </c>
      <c r="AA29" s="6">
        <v>234</v>
      </c>
      <c r="AB29" s="6">
        <v>1.0152671</v>
      </c>
      <c r="AC29" s="6">
        <v>1.2090909999999999</v>
      </c>
      <c r="AD29" s="6" t="b">
        <v>1</v>
      </c>
      <c r="AE29" s="6" t="b">
        <v>0</v>
      </c>
      <c r="AF29" s="6" t="b">
        <v>0</v>
      </c>
      <c r="AH29" s="6">
        <v>235</v>
      </c>
      <c r="AK29" s="6"/>
      <c r="AL29" s="6">
        <v>30</v>
      </c>
      <c r="AM29" s="6">
        <v>14</v>
      </c>
      <c r="AN29" s="6"/>
      <c r="AO29" s="6">
        <v>76</v>
      </c>
      <c r="AP29" s="6">
        <v>159</v>
      </c>
      <c r="AQ29" s="6">
        <v>127</v>
      </c>
      <c r="AR29" s="6">
        <v>142</v>
      </c>
      <c r="AS29" s="6">
        <v>148</v>
      </c>
      <c r="AT29" s="6">
        <v>158</v>
      </c>
      <c r="AU29" s="6">
        <v>162</v>
      </c>
      <c r="AV29" s="6">
        <v>167</v>
      </c>
      <c r="AW29" s="6">
        <v>175</v>
      </c>
      <c r="AX29" s="6">
        <v>3262</v>
      </c>
      <c r="AY29" s="6">
        <v>66</v>
      </c>
      <c r="AZ29" s="6">
        <v>0</v>
      </c>
      <c r="BA29" s="6">
        <v>0</v>
      </c>
      <c r="BB29" s="6">
        <v>0</v>
      </c>
      <c r="BC29" s="6">
        <v>0</v>
      </c>
      <c r="BD29" s="6">
        <v>0</v>
      </c>
      <c r="BE29" s="6">
        <v>1810</v>
      </c>
      <c r="BF29" s="6">
        <v>1518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v>95</v>
      </c>
      <c r="BN29" s="6" t="b">
        <v>0</v>
      </c>
      <c r="BO29" s="6" t="b">
        <v>0</v>
      </c>
      <c r="BP29" s="6" t="b">
        <v>0</v>
      </c>
      <c r="BQ29" s="6">
        <v>3329</v>
      </c>
      <c r="BR29" s="6">
        <v>0</v>
      </c>
      <c r="BS29" s="6">
        <v>0</v>
      </c>
      <c r="BW29" s="6">
        <v>133</v>
      </c>
      <c r="BX29" s="6">
        <v>131</v>
      </c>
      <c r="BY29" s="6">
        <v>9963</v>
      </c>
      <c r="BZ29" s="6">
        <v>171</v>
      </c>
      <c r="CA29" s="6" t="s">
        <v>298</v>
      </c>
      <c r="CB29" s="6" t="s">
        <v>299</v>
      </c>
      <c r="CD29" s="6" t="s">
        <v>196</v>
      </c>
      <c r="CE29" s="25">
        <v>2.12337E+18</v>
      </c>
      <c r="CF29" s="6">
        <v>103.44826999999999</v>
      </c>
    </row>
    <row r="30" spans="1:84" x14ac:dyDescent="0.2">
      <c r="A30" s="6" t="s">
        <v>300</v>
      </c>
      <c r="B30" s="24">
        <v>46135.253703703704</v>
      </c>
      <c r="C30" s="6"/>
      <c r="D30" s="6" t="s">
        <v>199</v>
      </c>
      <c r="E30" s="6">
        <v>3310</v>
      </c>
      <c r="F30" s="6">
        <v>7228.27</v>
      </c>
      <c r="G30" s="6">
        <v>3311</v>
      </c>
      <c r="H30" s="6">
        <v>57.074463000000002</v>
      </c>
      <c r="I30" s="6">
        <v>4.18</v>
      </c>
      <c r="J30" s="6">
        <v>2.1829999999999998</v>
      </c>
      <c r="K30" s="6" t="b">
        <v>1</v>
      </c>
      <c r="L30" s="6">
        <v>139</v>
      </c>
      <c r="M30" s="6">
        <v>125</v>
      </c>
      <c r="N30" s="6">
        <v>81.13194</v>
      </c>
      <c r="O30" s="6">
        <v>604</v>
      </c>
      <c r="P30" s="6"/>
      <c r="Q30" s="6"/>
      <c r="R30" s="6"/>
      <c r="S30" s="6"/>
      <c r="T30" s="6">
        <v>52.144350000000003</v>
      </c>
      <c r="U30" s="6">
        <v>25</v>
      </c>
      <c r="W30" s="6">
        <v>2</v>
      </c>
      <c r="X30" s="6">
        <v>2.1837673</v>
      </c>
      <c r="Y30" s="6">
        <v>48.028174999999997</v>
      </c>
      <c r="Z30" s="6">
        <v>28.841443999999999</v>
      </c>
      <c r="AA30" s="6">
        <v>310</v>
      </c>
      <c r="AB30" s="6"/>
      <c r="AC30" s="6"/>
      <c r="AD30" s="6"/>
      <c r="AE30" s="6" t="b">
        <v>0</v>
      </c>
      <c r="AF30" s="6" t="b">
        <v>0</v>
      </c>
      <c r="AH30" s="6">
        <v>310</v>
      </c>
      <c r="AK30" s="6">
        <v>2.2222222999999999</v>
      </c>
      <c r="AL30" s="6"/>
      <c r="AM30" s="6">
        <v>25</v>
      </c>
      <c r="AN30" s="6">
        <v>89</v>
      </c>
      <c r="AO30" s="6">
        <v>78</v>
      </c>
      <c r="AP30" s="6">
        <v>163</v>
      </c>
      <c r="AQ30" s="6">
        <v>137</v>
      </c>
      <c r="AR30" s="6">
        <v>145</v>
      </c>
      <c r="AS30" s="6">
        <v>153</v>
      </c>
      <c r="AT30" s="6">
        <v>162</v>
      </c>
      <c r="AU30" s="6">
        <v>166</v>
      </c>
      <c r="AV30" s="6">
        <v>171</v>
      </c>
      <c r="AW30" s="6">
        <v>175</v>
      </c>
      <c r="AX30" s="6">
        <v>3303</v>
      </c>
      <c r="AY30" s="6">
        <v>9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/>
      <c r="BF30" s="6"/>
      <c r="BG30" s="6"/>
      <c r="BH30" s="6"/>
      <c r="BI30" s="6"/>
      <c r="BJ30" s="6"/>
      <c r="BK30" s="6"/>
      <c r="BL30" s="6"/>
      <c r="BM30" s="6">
        <v>95</v>
      </c>
      <c r="BN30" s="6" t="b">
        <v>0</v>
      </c>
      <c r="BO30" s="6" t="b">
        <v>0</v>
      </c>
      <c r="BP30" s="6" t="b">
        <v>0</v>
      </c>
      <c r="BQ30" s="6">
        <v>3310</v>
      </c>
      <c r="BR30" s="6">
        <v>300</v>
      </c>
      <c r="BS30" s="6">
        <v>300</v>
      </c>
      <c r="BW30" s="6"/>
      <c r="BX30" s="6"/>
      <c r="BY30" s="6"/>
      <c r="BZ30" s="6"/>
      <c r="CA30" s="6" t="s">
        <v>301</v>
      </c>
      <c r="CB30" s="6" t="s">
        <v>302</v>
      </c>
      <c r="CD30" s="6" t="s">
        <v>196</v>
      </c>
      <c r="CE30" s="25">
        <v>22630198975</v>
      </c>
      <c r="CF30" s="6">
        <v>86.206894000000005</v>
      </c>
    </row>
    <row r="31" spans="1:84" x14ac:dyDescent="0.2">
      <c r="A31" s="6" t="s">
        <v>303</v>
      </c>
      <c r="B31" s="24">
        <v>46134.014664351853</v>
      </c>
      <c r="C31" s="6" t="s">
        <v>304</v>
      </c>
      <c r="D31" s="6" t="s">
        <v>208</v>
      </c>
      <c r="E31" s="6">
        <v>2113</v>
      </c>
      <c r="F31" s="6">
        <v>11411.16</v>
      </c>
      <c r="G31" s="6">
        <v>2115</v>
      </c>
      <c r="H31" s="6">
        <v>166</v>
      </c>
      <c r="I31" s="6">
        <v>15.721</v>
      </c>
      <c r="J31" s="6">
        <v>5.3920000000000003</v>
      </c>
      <c r="K31" s="6" t="b">
        <v>1</v>
      </c>
      <c r="L31" s="6">
        <v>124</v>
      </c>
      <c r="M31" s="6">
        <v>111</v>
      </c>
      <c r="N31" s="6">
        <v>77.443700000000007</v>
      </c>
      <c r="O31" s="6">
        <v>236</v>
      </c>
      <c r="P31" s="6" t="b">
        <v>1</v>
      </c>
      <c r="Q31" s="6">
        <v>117</v>
      </c>
      <c r="R31" s="6">
        <v>119</v>
      </c>
      <c r="S31" s="6">
        <v>247736</v>
      </c>
      <c r="T31" s="6">
        <v>50.638297999999999</v>
      </c>
      <c r="U31" s="6">
        <v>15</v>
      </c>
      <c r="W31" s="6"/>
      <c r="X31" s="6">
        <v>5.4004545000000004</v>
      </c>
      <c r="Y31" s="6">
        <v>51.564500000000002</v>
      </c>
      <c r="Z31" s="6">
        <v>28.934004000000002</v>
      </c>
      <c r="AA31" s="6">
        <v>234</v>
      </c>
      <c r="AB31" s="6">
        <v>1.0170939999999999</v>
      </c>
      <c r="AC31" s="6">
        <v>1.0720719999999999</v>
      </c>
      <c r="AD31" s="6" t="b">
        <v>1</v>
      </c>
      <c r="AE31" s="6" t="b">
        <v>0</v>
      </c>
      <c r="AF31" s="6" t="b">
        <v>0</v>
      </c>
      <c r="AH31" s="6">
        <v>235</v>
      </c>
      <c r="AK31" s="6"/>
      <c r="AL31" s="6">
        <v>15</v>
      </c>
      <c r="AM31" s="6">
        <v>12</v>
      </c>
      <c r="AN31" s="6"/>
      <c r="AO31" s="6">
        <v>70</v>
      </c>
      <c r="AP31" s="6">
        <v>159</v>
      </c>
      <c r="AQ31" s="6">
        <v>127</v>
      </c>
      <c r="AR31" s="6">
        <v>142</v>
      </c>
      <c r="AS31" s="6">
        <v>148</v>
      </c>
      <c r="AT31" s="6">
        <v>158</v>
      </c>
      <c r="AU31" s="6">
        <v>162</v>
      </c>
      <c r="AV31" s="6">
        <v>167</v>
      </c>
      <c r="AW31" s="6">
        <v>175</v>
      </c>
      <c r="AX31" s="6">
        <v>2113</v>
      </c>
      <c r="AY31" s="6">
        <v>0</v>
      </c>
      <c r="AZ31" s="6">
        <v>0</v>
      </c>
      <c r="BA31" s="6">
        <v>0</v>
      </c>
      <c r="BB31" s="6">
        <v>0</v>
      </c>
      <c r="BC31" s="6">
        <v>0</v>
      </c>
      <c r="BD31" s="6">
        <v>0</v>
      </c>
      <c r="BE31" s="6">
        <v>1932</v>
      </c>
      <c r="BF31" s="6">
        <v>181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95</v>
      </c>
      <c r="BN31" s="6" t="b">
        <v>0</v>
      </c>
      <c r="BO31" s="6" t="b">
        <v>0</v>
      </c>
      <c r="BP31" s="6" t="b">
        <v>0</v>
      </c>
      <c r="BQ31" s="6">
        <v>2114</v>
      </c>
      <c r="BR31" s="6">
        <v>0</v>
      </c>
      <c r="BS31" s="6">
        <v>0</v>
      </c>
      <c r="BW31" s="6">
        <v>118</v>
      </c>
      <c r="BX31" s="6">
        <v>116</v>
      </c>
      <c r="BY31" s="6">
        <v>8807</v>
      </c>
      <c r="BZ31" s="6">
        <v>174</v>
      </c>
      <c r="CA31" s="6" t="s">
        <v>305</v>
      </c>
      <c r="CB31" s="6" t="s">
        <v>306</v>
      </c>
      <c r="CD31" s="6" t="s">
        <v>196</v>
      </c>
      <c r="CE31" s="25">
        <v>2.12173E+18</v>
      </c>
      <c r="CF31" s="6">
        <v>100</v>
      </c>
    </row>
    <row r="32" spans="1:84" x14ac:dyDescent="0.2">
      <c r="A32" s="6" t="s">
        <v>307</v>
      </c>
      <c r="B32" s="24">
        <v>46133.23133101852</v>
      </c>
      <c r="C32" s="6" t="s">
        <v>308</v>
      </c>
      <c r="D32" s="6" t="s">
        <v>193</v>
      </c>
      <c r="E32" s="6">
        <v>11079</v>
      </c>
      <c r="F32" s="6">
        <v>49549.8</v>
      </c>
      <c r="G32" s="6">
        <v>11824</v>
      </c>
      <c r="H32" s="6">
        <v>706</v>
      </c>
      <c r="I32" s="6">
        <v>11.925000000000001</v>
      </c>
      <c r="J32" s="6">
        <v>4.1909999999999998</v>
      </c>
      <c r="K32" s="6" t="b">
        <v>1</v>
      </c>
      <c r="L32" s="6">
        <v>150</v>
      </c>
      <c r="M32" s="6">
        <v>124</v>
      </c>
      <c r="N32" s="6">
        <v>75.47542</v>
      </c>
      <c r="O32" s="6">
        <v>1849</v>
      </c>
      <c r="P32" s="6" t="b">
        <v>1</v>
      </c>
      <c r="Q32" s="6">
        <v>130</v>
      </c>
      <c r="R32" s="6">
        <v>170</v>
      </c>
      <c r="S32" s="6">
        <v>1541779</v>
      </c>
      <c r="T32" s="6">
        <v>74.561400000000006</v>
      </c>
      <c r="U32" s="6">
        <v>171</v>
      </c>
      <c r="W32" s="6"/>
      <c r="X32" s="6">
        <v>4.4724073000000004</v>
      </c>
      <c r="Y32" s="6">
        <v>57.179527</v>
      </c>
      <c r="Z32" s="6">
        <v>29.269746999999999</v>
      </c>
      <c r="AA32" s="6">
        <v>234</v>
      </c>
      <c r="AB32" s="6">
        <v>1.3076923</v>
      </c>
      <c r="AC32" s="6">
        <v>1.3709677</v>
      </c>
      <c r="AE32" s="6" t="b">
        <v>0</v>
      </c>
      <c r="AF32" s="6" t="b">
        <v>0</v>
      </c>
      <c r="AH32" s="6">
        <v>228</v>
      </c>
      <c r="AK32" s="6"/>
      <c r="AL32" s="6">
        <v>171</v>
      </c>
      <c r="AM32" s="6">
        <v>115</v>
      </c>
      <c r="AN32" s="6"/>
      <c r="AO32" s="6">
        <v>66</v>
      </c>
      <c r="AP32" s="6">
        <v>159</v>
      </c>
      <c r="AQ32" s="6">
        <v>127</v>
      </c>
      <c r="AR32" s="6">
        <v>142</v>
      </c>
      <c r="AS32" s="6">
        <v>148</v>
      </c>
      <c r="AT32" s="6">
        <v>158</v>
      </c>
      <c r="AU32" s="6">
        <v>162</v>
      </c>
      <c r="AV32" s="6">
        <v>167</v>
      </c>
      <c r="AW32" s="6">
        <v>175</v>
      </c>
      <c r="AX32" s="6">
        <v>4998</v>
      </c>
      <c r="AY32" s="6">
        <v>5607</v>
      </c>
      <c r="AZ32" s="6">
        <v>465</v>
      </c>
      <c r="BA32" s="6">
        <v>9</v>
      </c>
      <c r="BB32" s="6">
        <v>0</v>
      </c>
      <c r="BC32" s="6">
        <v>0</v>
      </c>
      <c r="BD32" s="6">
        <v>0</v>
      </c>
      <c r="BE32" s="6">
        <v>3564</v>
      </c>
      <c r="BF32" s="6">
        <v>3525</v>
      </c>
      <c r="BG32" s="6">
        <v>1997</v>
      </c>
      <c r="BH32" s="6">
        <v>1010</v>
      </c>
      <c r="BI32" s="6">
        <v>586</v>
      </c>
      <c r="BJ32" s="6">
        <v>372</v>
      </c>
      <c r="BK32" s="6">
        <v>25</v>
      </c>
      <c r="BL32" s="6">
        <v>1266</v>
      </c>
      <c r="BM32" s="6">
        <v>95</v>
      </c>
      <c r="BN32" s="6" t="b">
        <v>0</v>
      </c>
      <c r="BO32" s="6" t="b">
        <v>0</v>
      </c>
      <c r="BP32" s="6" t="b">
        <v>0</v>
      </c>
      <c r="BQ32" s="6">
        <v>11823</v>
      </c>
      <c r="BR32" s="6">
        <v>1200</v>
      </c>
      <c r="BS32" s="6">
        <v>600</v>
      </c>
      <c r="BW32" s="6">
        <v>180</v>
      </c>
      <c r="BX32" s="6">
        <v>177</v>
      </c>
      <c r="BY32" s="6">
        <v>14224</v>
      </c>
      <c r="BZ32" s="6">
        <v>913</v>
      </c>
      <c r="CA32" s="6" t="s">
        <v>309</v>
      </c>
      <c r="CB32" s="6" t="s">
        <v>310</v>
      </c>
      <c r="CD32" s="6" t="s">
        <v>196</v>
      </c>
      <c r="CE32" s="6">
        <v>22606567903</v>
      </c>
      <c r="CF32" s="6">
        <v>103.01205</v>
      </c>
    </row>
    <row r="33" spans="1:86" x14ac:dyDescent="0.2">
      <c r="A33" s="6" t="s">
        <v>311</v>
      </c>
      <c r="B33" s="24">
        <v>46132.253379629627</v>
      </c>
      <c r="C33" s="6" t="s">
        <v>258</v>
      </c>
      <c r="D33" s="6" t="s">
        <v>199</v>
      </c>
      <c r="E33" s="6">
        <v>3624</v>
      </c>
      <c r="F33" s="6">
        <v>7384.87</v>
      </c>
      <c r="G33" s="6">
        <v>3641</v>
      </c>
      <c r="H33" s="6">
        <v>45.639403999999999</v>
      </c>
      <c r="I33" s="6">
        <v>4.1609999999999996</v>
      </c>
      <c r="J33" s="6">
        <v>2.0289999999999999</v>
      </c>
      <c r="K33" s="6" t="b">
        <v>1</v>
      </c>
      <c r="L33" s="6">
        <v>141</v>
      </c>
      <c r="M33" s="6">
        <v>123</v>
      </c>
      <c r="N33" s="6">
        <v>80.172934999999995</v>
      </c>
      <c r="O33" s="6">
        <v>598</v>
      </c>
      <c r="P33" s="6"/>
      <c r="Q33" s="6"/>
      <c r="R33" s="6"/>
      <c r="S33" s="6"/>
      <c r="T33" s="6">
        <v>54.470478</v>
      </c>
      <c r="U33" s="6">
        <v>30</v>
      </c>
      <c r="W33" s="6">
        <v>2</v>
      </c>
      <c r="X33" s="6">
        <v>2.0377676</v>
      </c>
      <c r="Y33" s="6">
        <v>39.700687000000002</v>
      </c>
      <c r="Z33" s="6">
        <v>25.854723</v>
      </c>
      <c r="AA33" s="6">
        <v>310</v>
      </c>
      <c r="AB33" s="6"/>
      <c r="AC33" s="6"/>
      <c r="AD33" s="6"/>
      <c r="AE33" s="6" t="b">
        <v>0</v>
      </c>
      <c r="AF33" s="6" t="b">
        <v>0</v>
      </c>
      <c r="AH33" s="6">
        <v>200</v>
      </c>
      <c r="AK33" s="6">
        <v>2.2222222999999999</v>
      </c>
      <c r="AL33" s="6"/>
      <c r="AM33" s="6">
        <v>30</v>
      </c>
      <c r="AN33" s="6">
        <v>85</v>
      </c>
      <c r="AO33" s="6">
        <v>66</v>
      </c>
      <c r="AP33" s="6">
        <v>163</v>
      </c>
      <c r="AQ33" s="6">
        <v>137</v>
      </c>
      <c r="AR33" s="6">
        <v>145</v>
      </c>
      <c r="AS33" s="6">
        <v>153</v>
      </c>
      <c r="AT33" s="6">
        <v>162</v>
      </c>
      <c r="AU33" s="6">
        <v>166</v>
      </c>
      <c r="AV33" s="6">
        <v>171</v>
      </c>
      <c r="AW33" s="6">
        <v>175</v>
      </c>
      <c r="AX33" s="6">
        <v>3496</v>
      </c>
      <c r="AY33" s="6">
        <v>129</v>
      </c>
      <c r="AZ33" s="6">
        <v>0</v>
      </c>
      <c r="BA33" s="6">
        <v>0</v>
      </c>
      <c r="BB33" s="6">
        <v>0</v>
      </c>
      <c r="BC33" s="6">
        <v>0</v>
      </c>
      <c r="BD33" s="6">
        <v>0</v>
      </c>
      <c r="BE33" s="6"/>
      <c r="BF33" s="6"/>
      <c r="BG33" s="6"/>
      <c r="BH33" s="6"/>
      <c r="BI33" s="6"/>
      <c r="BJ33" s="6"/>
      <c r="BK33" s="6"/>
      <c r="BL33" s="6"/>
      <c r="BM33" s="6">
        <v>95</v>
      </c>
      <c r="BN33" s="6" t="b">
        <v>0</v>
      </c>
      <c r="BO33" s="6" t="b">
        <v>0</v>
      </c>
      <c r="BP33" s="6" t="b">
        <v>0</v>
      </c>
      <c r="BQ33" s="6">
        <v>3640</v>
      </c>
      <c r="BR33" s="6">
        <v>300</v>
      </c>
      <c r="BS33" s="6">
        <v>300</v>
      </c>
      <c r="BW33" s="6"/>
      <c r="BX33" s="6"/>
      <c r="BY33" s="6"/>
      <c r="BZ33" s="6"/>
      <c r="CA33" s="6" t="s">
        <v>312</v>
      </c>
      <c r="CB33" s="6" t="s">
        <v>313</v>
      </c>
      <c r="CD33" s="6" t="s">
        <v>196</v>
      </c>
      <c r="CE33" s="6">
        <v>22593426026</v>
      </c>
      <c r="CF33" s="6">
        <v>1000</v>
      </c>
    </row>
    <row r="34" spans="1:86" x14ac:dyDescent="0.2">
      <c r="A34" s="6" t="s">
        <v>314</v>
      </c>
      <c r="B34" s="24">
        <v>46130.229699074072</v>
      </c>
      <c r="C34" s="6" t="s">
        <v>315</v>
      </c>
      <c r="D34" s="6" t="s">
        <v>199</v>
      </c>
      <c r="E34" s="6">
        <v>6400</v>
      </c>
      <c r="F34" s="6">
        <v>13059.15</v>
      </c>
      <c r="G34" s="6">
        <v>6462</v>
      </c>
      <c r="H34" s="6">
        <v>86.388180000000006</v>
      </c>
      <c r="I34" s="6">
        <v>2.4260000000000002</v>
      </c>
      <c r="J34" s="6">
        <v>2.0209999999999999</v>
      </c>
      <c r="K34" s="6" t="b">
        <v>1</v>
      </c>
      <c r="L34" s="6">
        <v>144</v>
      </c>
      <c r="M34" s="6">
        <v>130</v>
      </c>
      <c r="N34" s="6">
        <v>80.28931</v>
      </c>
      <c r="O34" s="6">
        <v>1087</v>
      </c>
      <c r="P34" s="6"/>
      <c r="Q34" s="6"/>
      <c r="R34" s="6"/>
      <c r="S34" s="6"/>
      <c r="T34" s="6">
        <v>29.858046000000002</v>
      </c>
      <c r="U34" s="6">
        <v>16</v>
      </c>
      <c r="W34" s="6">
        <v>4</v>
      </c>
      <c r="X34" s="6">
        <v>2.0404922999999999</v>
      </c>
      <c r="Y34" s="6">
        <v>47.515774</v>
      </c>
      <c r="Z34" s="6">
        <v>26.375409999999999</v>
      </c>
      <c r="AA34" s="6">
        <v>310</v>
      </c>
      <c r="AB34" s="6"/>
      <c r="AC34" s="6"/>
      <c r="AD34" s="6"/>
      <c r="AE34" s="6" t="b">
        <v>0</v>
      </c>
      <c r="AF34" s="6" t="b">
        <v>0</v>
      </c>
      <c r="AH34" s="6">
        <v>200</v>
      </c>
      <c r="AK34" s="6">
        <v>2.2222222999999999</v>
      </c>
      <c r="AL34" s="6"/>
      <c r="AM34" s="6">
        <v>16</v>
      </c>
      <c r="AN34" s="6">
        <v>150</v>
      </c>
      <c r="AO34" s="6">
        <v>119</v>
      </c>
      <c r="AP34" s="6">
        <v>163</v>
      </c>
      <c r="AQ34" s="6">
        <v>137</v>
      </c>
      <c r="AR34" s="6">
        <v>145</v>
      </c>
      <c r="AS34" s="6">
        <v>153</v>
      </c>
      <c r="AT34" s="6">
        <v>162</v>
      </c>
      <c r="AU34" s="6">
        <v>166</v>
      </c>
      <c r="AV34" s="6">
        <v>171</v>
      </c>
      <c r="AW34" s="6">
        <v>175</v>
      </c>
      <c r="AX34" s="6">
        <v>6034</v>
      </c>
      <c r="AY34" s="6">
        <v>363</v>
      </c>
      <c r="AZ34" s="6">
        <v>0</v>
      </c>
      <c r="BA34" s="6">
        <v>0</v>
      </c>
      <c r="BB34" s="6">
        <v>0</v>
      </c>
      <c r="BC34" s="6">
        <v>0</v>
      </c>
      <c r="BD34" s="6">
        <v>0</v>
      </c>
      <c r="BE34" s="6"/>
      <c r="BF34" s="6"/>
      <c r="BG34" s="6"/>
      <c r="BH34" s="6"/>
      <c r="BI34" s="6"/>
      <c r="BJ34" s="6"/>
      <c r="BK34" s="6"/>
      <c r="BL34" s="6"/>
      <c r="BM34" s="6">
        <v>95</v>
      </c>
      <c r="BN34" s="6" t="b">
        <v>0</v>
      </c>
      <c r="BO34" s="6" t="b">
        <v>0</v>
      </c>
      <c r="BP34" s="6" t="b">
        <v>0</v>
      </c>
      <c r="BQ34" s="6">
        <v>6461</v>
      </c>
      <c r="BR34" s="6">
        <v>300</v>
      </c>
      <c r="BS34" s="6">
        <v>300</v>
      </c>
      <c r="BW34" s="6"/>
      <c r="BX34" s="6"/>
      <c r="BY34" s="6"/>
      <c r="BZ34" s="6"/>
      <c r="CA34" s="6" t="s">
        <v>316</v>
      </c>
      <c r="CB34" s="6" t="s">
        <v>302</v>
      </c>
      <c r="CD34" s="6" t="s">
        <v>196</v>
      </c>
      <c r="CE34" s="25">
        <v>22570802224</v>
      </c>
      <c r="CF34" s="6">
        <v>21.917808999999998</v>
      </c>
    </row>
    <row r="35" spans="1:86" x14ac:dyDescent="0.2">
      <c r="A35" s="6" t="s">
        <v>317</v>
      </c>
      <c r="B35" s="24">
        <v>46129.223032407404</v>
      </c>
      <c r="C35" s="6" t="s">
        <v>318</v>
      </c>
      <c r="D35" s="6" t="s">
        <v>208</v>
      </c>
      <c r="E35" s="6">
        <v>6310</v>
      </c>
      <c r="F35" s="6">
        <v>50896.23</v>
      </c>
      <c r="G35" s="6">
        <v>6312</v>
      </c>
      <c r="H35" s="6">
        <v>377</v>
      </c>
      <c r="I35" s="6">
        <v>15.505000000000001</v>
      </c>
      <c r="J35" s="6">
        <v>8.0619999999999994</v>
      </c>
      <c r="K35" s="6" t="b">
        <v>1</v>
      </c>
      <c r="L35" s="6">
        <v>155</v>
      </c>
      <c r="M35" s="6">
        <v>136</v>
      </c>
      <c r="N35" s="6">
        <v>71.719589999999997</v>
      </c>
      <c r="O35" s="6">
        <v>931</v>
      </c>
      <c r="P35" s="6" t="b">
        <v>1</v>
      </c>
      <c r="Q35" s="6">
        <v>154</v>
      </c>
      <c r="R35" s="6">
        <v>160</v>
      </c>
      <c r="S35" s="6">
        <v>974982</v>
      </c>
      <c r="T35" s="6">
        <v>68.085105999999996</v>
      </c>
      <c r="U35" s="6">
        <v>81</v>
      </c>
      <c r="X35" s="6">
        <v>8.0659639999999992</v>
      </c>
      <c r="Y35" s="6">
        <v>52.355494999999998</v>
      </c>
      <c r="Z35" s="6">
        <v>26.625408</v>
      </c>
      <c r="AA35" s="6">
        <v>234</v>
      </c>
      <c r="AB35" s="6">
        <v>1.038961</v>
      </c>
      <c r="AC35" s="6">
        <v>1.1764706</v>
      </c>
      <c r="AD35" s="6" t="b">
        <v>1</v>
      </c>
      <c r="AE35" s="6" t="b">
        <v>0</v>
      </c>
      <c r="AF35" s="6" t="b">
        <v>0</v>
      </c>
      <c r="AH35" s="6">
        <v>235</v>
      </c>
      <c r="AK35" s="6"/>
      <c r="AL35" s="6">
        <v>81</v>
      </c>
      <c r="AM35" s="6">
        <v>98</v>
      </c>
      <c r="AN35" s="6"/>
      <c r="AO35" s="6">
        <v>56</v>
      </c>
      <c r="AP35" s="6">
        <v>159</v>
      </c>
      <c r="AQ35" s="6">
        <v>127</v>
      </c>
      <c r="AR35" s="6">
        <v>142</v>
      </c>
      <c r="AS35" s="6">
        <v>148</v>
      </c>
      <c r="AT35" s="6">
        <v>158</v>
      </c>
      <c r="AU35" s="6">
        <v>162</v>
      </c>
      <c r="AV35" s="6">
        <v>167</v>
      </c>
      <c r="AW35" s="6">
        <v>175</v>
      </c>
      <c r="AX35" s="6">
        <v>1673</v>
      </c>
      <c r="AY35" s="6">
        <v>2612</v>
      </c>
      <c r="AZ35" s="6">
        <v>1190</v>
      </c>
      <c r="BA35" s="6">
        <v>835</v>
      </c>
      <c r="BB35" s="6">
        <v>0</v>
      </c>
      <c r="BC35" s="6">
        <v>0</v>
      </c>
      <c r="BD35" s="6">
        <v>0</v>
      </c>
      <c r="BE35" s="6">
        <v>558</v>
      </c>
      <c r="BF35" s="6">
        <v>4082</v>
      </c>
      <c r="BG35" s="6">
        <v>1668</v>
      </c>
      <c r="BH35" s="6">
        <v>2</v>
      </c>
      <c r="BI35" s="6">
        <v>0</v>
      </c>
      <c r="BJ35" s="6">
        <v>0</v>
      </c>
      <c r="BK35" s="6">
        <v>0</v>
      </c>
      <c r="BL35" s="6">
        <v>30</v>
      </c>
      <c r="BM35" s="6">
        <v>95</v>
      </c>
      <c r="BN35" s="6" t="b">
        <v>0</v>
      </c>
      <c r="BO35" s="6" t="b">
        <v>0</v>
      </c>
      <c r="BP35" s="6" t="b">
        <v>0</v>
      </c>
      <c r="BQ35" s="6">
        <v>6311</v>
      </c>
      <c r="BR35" s="6">
        <v>1200</v>
      </c>
      <c r="BS35" s="6">
        <v>600</v>
      </c>
      <c r="BW35" s="6">
        <v>176</v>
      </c>
      <c r="BX35" s="6">
        <v>172</v>
      </c>
      <c r="BY35" s="6">
        <v>14577</v>
      </c>
      <c r="BZ35" s="6">
        <v>223</v>
      </c>
      <c r="CA35" s="6" t="s">
        <v>319</v>
      </c>
      <c r="CB35" s="6" t="s">
        <v>320</v>
      </c>
      <c r="CD35" s="6" t="s">
        <v>196</v>
      </c>
      <c r="CE35" s="25">
        <v>2.11826E+18</v>
      </c>
      <c r="CF35" s="6">
        <v>100</v>
      </c>
    </row>
    <row r="36" spans="1:86" x14ac:dyDescent="0.2">
      <c r="A36" s="6" t="s">
        <v>321</v>
      </c>
      <c r="B36" s="24">
        <v>46128.25377314815</v>
      </c>
      <c r="C36" s="6" t="s">
        <v>212</v>
      </c>
      <c r="D36" s="6" t="s">
        <v>199</v>
      </c>
      <c r="E36" s="6">
        <v>3321</v>
      </c>
      <c r="F36" s="6">
        <v>6870.12</v>
      </c>
      <c r="G36" s="6">
        <v>3344</v>
      </c>
      <c r="H36" s="6">
        <v>46.652099999999997</v>
      </c>
      <c r="I36" s="6">
        <v>2.5659999999999998</v>
      </c>
      <c r="J36" s="6">
        <v>2.0630000000000002</v>
      </c>
      <c r="K36" s="6" t="b">
        <v>1</v>
      </c>
      <c r="L36" s="6">
        <v>136</v>
      </c>
      <c r="M36" s="6">
        <v>126</v>
      </c>
      <c r="N36" s="6">
        <v>80.411940000000001</v>
      </c>
      <c r="O36" s="6">
        <v>591</v>
      </c>
      <c r="P36" s="6"/>
      <c r="Q36" s="6"/>
      <c r="R36" s="6"/>
      <c r="S36" s="6"/>
      <c r="T36" s="6">
        <v>60.509354000000002</v>
      </c>
      <c r="U36" s="6">
        <v>34</v>
      </c>
      <c r="X36" s="6">
        <v>2.0686903000000001</v>
      </c>
      <c r="Y36" s="6">
        <v>47.956702999999997</v>
      </c>
      <c r="Z36" s="6">
        <v>25.315238999999998</v>
      </c>
      <c r="AA36" s="6">
        <v>310</v>
      </c>
      <c r="AB36" s="6"/>
      <c r="AC36" s="6"/>
      <c r="AD36" s="6"/>
      <c r="AE36" s="6" t="b">
        <v>0</v>
      </c>
      <c r="AF36" s="6" t="b">
        <v>0</v>
      </c>
      <c r="AH36" s="6">
        <v>200</v>
      </c>
      <c r="AK36" s="6">
        <v>2.2222222999999999</v>
      </c>
      <c r="AL36" s="6"/>
      <c r="AM36" s="6">
        <v>34</v>
      </c>
      <c r="AN36" s="6">
        <v>80</v>
      </c>
      <c r="AO36" s="6">
        <v>56</v>
      </c>
      <c r="AP36" s="6">
        <v>163</v>
      </c>
      <c r="AQ36" s="6">
        <v>137</v>
      </c>
      <c r="AR36" s="6">
        <v>145</v>
      </c>
      <c r="AS36" s="6">
        <v>153</v>
      </c>
      <c r="AT36" s="6">
        <v>162</v>
      </c>
      <c r="AU36" s="6">
        <v>166</v>
      </c>
      <c r="AV36" s="6">
        <v>171</v>
      </c>
      <c r="AW36" s="6">
        <v>175</v>
      </c>
      <c r="AX36" s="6">
        <v>3320</v>
      </c>
      <c r="AY36" s="6">
        <v>0</v>
      </c>
      <c r="AZ36" s="6">
        <v>0</v>
      </c>
      <c r="BA36" s="6">
        <v>0</v>
      </c>
      <c r="BB36" s="6">
        <v>0</v>
      </c>
      <c r="BC36" s="6">
        <v>0</v>
      </c>
      <c r="BD36" s="6">
        <v>0</v>
      </c>
      <c r="BE36" s="6"/>
      <c r="BF36" s="6"/>
      <c r="BG36" s="6"/>
      <c r="BH36" s="6"/>
      <c r="BI36" s="6"/>
      <c r="BJ36" s="6"/>
      <c r="BK36" s="6"/>
      <c r="BL36" s="6"/>
      <c r="BM36" s="6">
        <v>95</v>
      </c>
      <c r="BN36" s="6" t="b">
        <v>0</v>
      </c>
      <c r="BO36" s="6" t="b">
        <v>0</v>
      </c>
      <c r="BP36" s="6" t="b">
        <v>0</v>
      </c>
      <c r="BQ36" s="6">
        <v>3343</v>
      </c>
      <c r="BR36" s="6">
        <v>300</v>
      </c>
      <c r="BS36" s="6">
        <v>300</v>
      </c>
      <c r="BW36" s="6"/>
      <c r="BX36" s="6"/>
      <c r="BY36" s="6"/>
      <c r="BZ36" s="6"/>
      <c r="CA36" s="6" t="s">
        <v>322</v>
      </c>
      <c r="CB36" s="6" t="s">
        <v>302</v>
      </c>
      <c r="CD36" s="6" t="s">
        <v>196</v>
      </c>
      <c r="CE36" s="25">
        <v>22546896182</v>
      </c>
      <c r="CF36" s="6">
        <v>94.44444</v>
      </c>
    </row>
    <row r="37" spans="1:86" x14ac:dyDescent="0.2">
      <c r="A37" s="6" t="s">
        <v>323</v>
      </c>
      <c r="B37" s="24">
        <v>46127.298831018517</v>
      </c>
      <c r="C37" s="6" t="s">
        <v>297</v>
      </c>
      <c r="D37" s="6" t="s">
        <v>208</v>
      </c>
      <c r="E37" s="6">
        <v>2728</v>
      </c>
      <c r="F37" s="6">
        <v>20833.259999999998</v>
      </c>
      <c r="G37" s="6">
        <v>2730</v>
      </c>
      <c r="H37" s="6">
        <v>33</v>
      </c>
      <c r="I37" s="6">
        <v>9.8439999999999994</v>
      </c>
      <c r="J37" s="6">
        <v>7.6280000000000001</v>
      </c>
      <c r="K37" s="6" t="b">
        <v>1</v>
      </c>
      <c r="L37" s="6">
        <v>123</v>
      </c>
      <c r="M37" s="6">
        <v>104</v>
      </c>
      <c r="N37" s="6">
        <v>74.517189999999999</v>
      </c>
      <c r="O37" s="6">
        <v>280</v>
      </c>
      <c r="P37" s="6" t="b">
        <v>1</v>
      </c>
      <c r="Q37" s="6">
        <v>107</v>
      </c>
      <c r="R37" s="6">
        <v>109</v>
      </c>
      <c r="S37" s="6">
        <v>293329</v>
      </c>
      <c r="T37" s="6">
        <v>46.382980000000003</v>
      </c>
      <c r="U37" s="6">
        <v>16</v>
      </c>
      <c r="W37" s="6"/>
      <c r="X37" s="6">
        <v>7.6368255999999999</v>
      </c>
      <c r="Y37" s="6">
        <v>50.099964</v>
      </c>
      <c r="Z37" s="6">
        <v>25.105978</v>
      </c>
      <c r="AA37" s="6">
        <v>234</v>
      </c>
      <c r="AB37" s="6">
        <v>1.0186915000000001</v>
      </c>
      <c r="AC37" s="6">
        <v>1.0480769000000001</v>
      </c>
      <c r="AD37" s="6" t="b">
        <v>1</v>
      </c>
      <c r="AE37" s="6" t="b">
        <v>0</v>
      </c>
      <c r="AF37" s="6" t="b">
        <v>0</v>
      </c>
      <c r="AH37" s="6">
        <v>235</v>
      </c>
      <c r="AK37" s="6"/>
      <c r="AL37" s="6">
        <v>16</v>
      </c>
      <c r="AM37" s="6">
        <v>15</v>
      </c>
      <c r="AN37" s="6"/>
      <c r="AO37" s="6">
        <v>57</v>
      </c>
      <c r="AP37" s="6">
        <v>159</v>
      </c>
      <c r="AQ37" s="6">
        <v>127</v>
      </c>
      <c r="AR37" s="6">
        <v>142</v>
      </c>
      <c r="AS37" s="6">
        <v>148</v>
      </c>
      <c r="AT37" s="6">
        <v>158</v>
      </c>
      <c r="AU37" s="6">
        <v>162</v>
      </c>
      <c r="AV37" s="6">
        <v>167</v>
      </c>
      <c r="AW37" s="6">
        <v>175</v>
      </c>
      <c r="AX37" s="6">
        <v>2728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>
        <v>2705</v>
      </c>
      <c r="BF37" s="6">
        <v>23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95</v>
      </c>
      <c r="BN37" s="6" t="b">
        <v>0</v>
      </c>
      <c r="BO37" s="6" t="b">
        <v>0</v>
      </c>
      <c r="BP37" s="6" t="b">
        <v>0</v>
      </c>
      <c r="BQ37" s="6">
        <v>2729</v>
      </c>
      <c r="BR37" s="6">
        <v>0</v>
      </c>
      <c r="BS37" s="6">
        <v>0</v>
      </c>
      <c r="BW37" s="6">
        <v>110</v>
      </c>
      <c r="BX37" s="6">
        <v>108</v>
      </c>
      <c r="BY37" s="6">
        <v>8199</v>
      </c>
      <c r="BZ37" s="6">
        <v>189</v>
      </c>
      <c r="CA37" s="6" t="s">
        <v>324</v>
      </c>
      <c r="CB37" s="6" t="s">
        <v>325</v>
      </c>
      <c r="CD37" s="6" t="s">
        <v>196</v>
      </c>
      <c r="CE37" s="25">
        <v>2.11686E+18</v>
      </c>
      <c r="CF37" s="6">
        <v>100</v>
      </c>
    </row>
    <row r="38" spans="1:86" x14ac:dyDescent="0.2">
      <c r="A38" s="6" t="s">
        <v>326</v>
      </c>
      <c r="B38" s="24">
        <v>46126.249594907407</v>
      </c>
      <c r="C38" s="6" t="s">
        <v>327</v>
      </c>
      <c r="D38" s="6" t="s">
        <v>193</v>
      </c>
      <c r="E38" s="6">
        <v>11232</v>
      </c>
      <c r="F38" s="6">
        <v>51904.54</v>
      </c>
      <c r="G38" s="6">
        <v>11746</v>
      </c>
      <c r="H38" s="6">
        <v>654</v>
      </c>
      <c r="I38" s="6">
        <v>12.875999999999999</v>
      </c>
      <c r="J38" s="6">
        <v>4.4189999999999996</v>
      </c>
      <c r="K38" s="6" t="b">
        <v>1</v>
      </c>
      <c r="L38" s="6">
        <v>150</v>
      </c>
      <c r="M38" s="6">
        <v>121</v>
      </c>
      <c r="N38" s="6">
        <v>76.106139999999996</v>
      </c>
      <c r="O38" s="6">
        <v>1859</v>
      </c>
      <c r="P38" s="6" t="b">
        <v>1</v>
      </c>
      <c r="Q38" s="6">
        <v>133</v>
      </c>
      <c r="R38" s="6">
        <v>163</v>
      </c>
      <c r="S38" s="6">
        <v>1557218</v>
      </c>
      <c r="T38" s="6">
        <v>71.491230000000002</v>
      </c>
      <c r="U38" s="6">
        <v>159</v>
      </c>
      <c r="W38" s="6"/>
      <c r="X38" s="6">
        <v>4.6211304999999996</v>
      </c>
      <c r="Y38" s="6">
        <v>55.336525000000002</v>
      </c>
      <c r="Z38" s="6">
        <v>25.325388</v>
      </c>
      <c r="AA38" s="6">
        <v>234</v>
      </c>
      <c r="AB38" s="6">
        <v>1.2255639</v>
      </c>
      <c r="AC38" s="6">
        <v>1.3471074000000001</v>
      </c>
      <c r="AE38" s="6" t="b">
        <v>0</v>
      </c>
      <c r="AF38" s="6" t="b">
        <v>0</v>
      </c>
      <c r="AH38" s="6">
        <v>228</v>
      </c>
      <c r="AK38" s="6"/>
      <c r="AL38" s="6">
        <v>159</v>
      </c>
      <c r="AM38" s="6">
        <v>113</v>
      </c>
      <c r="AN38" s="6"/>
      <c r="AO38" s="6">
        <v>57</v>
      </c>
      <c r="AP38" s="6">
        <v>159</v>
      </c>
      <c r="AQ38" s="6">
        <v>127</v>
      </c>
      <c r="AR38" s="6">
        <v>142</v>
      </c>
      <c r="AS38" s="6">
        <v>148</v>
      </c>
      <c r="AT38" s="6">
        <v>158</v>
      </c>
      <c r="AU38" s="6">
        <v>162</v>
      </c>
      <c r="AV38" s="6">
        <v>167</v>
      </c>
      <c r="AW38" s="6">
        <v>175</v>
      </c>
      <c r="AX38" s="6">
        <v>7636</v>
      </c>
      <c r="AY38" s="6">
        <v>3204</v>
      </c>
      <c r="AZ38" s="6">
        <v>312</v>
      </c>
      <c r="BA38" s="6">
        <v>80</v>
      </c>
      <c r="BB38" s="6">
        <v>0</v>
      </c>
      <c r="BC38" s="6">
        <v>0</v>
      </c>
      <c r="BD38" s="6">
        <v>0</v>
      </c>
      <c r="BE38" s="6">
        <v>3692</v>
      </c>
      <c r="BF38" s="6">
        <v>3777</v>
      </c>
      <c r="BG38" s="6">
        <v>1933</v>
      </c>
      <c r="BH38" s="6">
        <v>1134</v>
      </c>
      <c r="BI38" s="6">
        <v>491</v>
      </c>
      <c r="BJ38" s="6">
        <v>191</v>
      </c>
      <c r="BK38" s="6">
        <v>14</v>
      </c>
      <c r="BL38" s="6">
        <v>1389</v>
      </c>
      <c r="BM38" s="6">
        <v>95</v>
      </c>
      <c r="BN38" s="6" t="b">
        <v>0</v>
      </c>
      <c r="BO38" s="6" t="b">
        <v>0</v>
      </c>
      <c r="BP38" s="6" t="b">
        <v>0</v>
      </c>
      <c r="BQ38" s="6">
        <v>11745</v>
      </c>
      <c r="BR38" s="6">
        <v>1200</v>
      </c>
      <c r="BS38" s="6">
        <v>600</v>
      </c>
      <c r="BT38" s="6"/>
      <c r="BU38" s="6"/>
      <c r="BW38" s="6">
        <v>169</v>
      </c>
      <c r="BX38" s="6">
        <v>165</v>
      </c>
      <c r="BY38" s="6">
        <v>15009</v>
      </c>
      <c r="BZ38" s="6">
        <v>768</v>
      </c>
      <c r="CA38" s="6" t="s">
        <v>328</v>
      </c>
      <c r="CB38" s="6" t="s">
        <v>329</v>
      </c>
      <c r="CD38" s="6" t="s">
        <v>196</v>
      </c>
      <c r="CE38" s="6">
        <v>22523842609</v>
      </c>
      <c r="CF38" s="6">
        <v>133.61345</v>
      </c>
      <c r="CH38" s="6"/>
    </row>
    <row r="39" spans="1:86" x14ac:dyDescent="0.2">
      <c r="A39" s="6" t="s">
        <v>330</v>
      </c>
      <c r="B39" s="24">
        <v>46125.257928240739</v>
      </c>
      <c r="C39" s="6"/>
      <c r="D39" s="6" t="s">
        <v>199</v>
      </c>
      <c r="E39" s="6">
        <v>3328</v>
      </c>
      <c r="F39" s="6">
        <v>6778</v>
      </c>
      <c r="G39" s="6">
        <v>3357</v>
      </c>
      <c r="H39" s="6">
        <v>45.570799999999998</v>
      </c>
      <c r="I39" s="6">
        <v>4.3390000000000004</v>
      </c>
      <c r="J39" s="6">
        <v>2.0190000000000001</v>
      </c>
      <c r="K39" s="6" t="b">
        <v>1</v>
      </c>
      <c r="L39" s="6">
        <v>149</v>
      </c>
      <c r="M39" s="6">
        <v>125</v>
      </c>
      <c r="N39" s="6">
        <v>79.896614</v>
      </c>
      <c r="O39" s="6">
        <v>548</v>
      </c>
      <c r="P39" s="6"/>
      <c r="Q39" s="6"/>
      <c r="R39" s="6"/>
      <c r="S39" s="6"/>
      <c r="T39" s="6">
        <v>59.497300000000003</v>
      </c>
      <c r="U39" s="6">
        <v>33</v>
      </c>
      <c r="W39" s="6">
        <v>2</v>
      </c>
      <c r="X39" s="6">
        <v>2.0366588000000001</v>
      </c>
      <c r="Y39" s="6">
        <v>39.417442000000001</v>
      </c>
      <c r="Z39" s="6">
        <v>22.104467</v>
      </c>
      <c r="AA39" s="6">
        <v>310</v>
      </c>
      <c r="AB39" s="6"/>
      <c r="AC39" s="6"/>
      <c r="AD39" s="6"/>
      <c r="AE39" s="6" t="b">
        <v>0</v>
      </c>
      <c r="AF39" s="6" t="b">
        <v>0</v>
      </c>
      <c r="AH39" s="6">
        <v>200</v>
      </c>
      <c r="AK39" s="6">
        <v>2.2222222999999999</v>
      </c>
      <c r="AL39" s="6"/>
      <c r="AM39" s="6">
        <v>33</v>
      </c>
      <c r="AN39" s="6">
        <v>78</v>
      </c>
      <c r="AO39" s="6">
        <v>57</v>
      </c>
      <c r="AP39" s="6">
        <v>163</v>
      </c>
      <c r="AQ39" s="6">
        <v>137</v>
      </c>
      <c r="AR39" s="6">
        <v>145</v>
      </c>
      <c r="AS39" s="6">
        <v>153</v>
      </c>
      <c r="AT39" s="6">
        <v>162</v>
      </c>
      <c r="AU39" s="6">
        <v>166</v>
      </c>
      <c r="AV39" s="6">
        <v>171</v>
      </c>
      <c r="AW39" s="6">
        <v>175</v>
      </c>
      <c r="AX39" s="6">
        <v>3158</v>
      </c>
      <c r="AY39" s="6">
        <v>134</v>
      </c>
      <c r="AZ39" s="6">
        <v>37</v>
      </c>
      <c r="BA39" s="6">
        <v>0</v>
      </c>
      <c r="BB39" s="6">
        <v>0</v>
      </c>
      <c r="BC39" s="6">
        <v>0</v>
      </c>
      <c r="BD39" s="6">
        <v>0</v>
      </c>
      <c r="BE39" s="6"/>
      <c r="BF39" s="6"/>
      <c r="BG39" s="6"/>
      <c r="BH39" s="6"/>
      <c r="BI39" s="6"/>
      <c r="BJ39" s="6"/>
      <c r="BK39" s="6"/>
      <c r="BL39" s="6"/>
      <c r="BM39" s="6">
        <v>95</v>
      </c>
      <c r="BN39" s="6" t="b">
        <v>0</v>
      </c>
      <c r="BO39" s="6" t="b">
        <v>0</v>
      </c>
      <c r="BP39" s="6" t="b">
        <v>0</v>
      </c>
      <c r="BQ39" s="6">
        <v>3356</v>
      </c>
      <c r="BR39" s="6">
        <v>300</v>
      </c>
      <c r="BS39" s="6">
        <v>300</v>
      </c>
      <c r="BT39" s="6"/>
      <c r="BU39" s="6"/>
      <c r="BW39" s="6"/>
      <c r="BX39" s="6"/>
      <c r="BY39" s="6"/>
      <c r="BZ39" s="6"/>
      <c r="CA39" s="6" t="s">
        <v>331</v>
      </c>
      <c r="CB39" s="6" t="s">
        <v>332</v>
      </c>
      <c r="CD39" s="6" t="s">
        <v>196</v>
      </c>
      <c r="CE39" s="6">
        <v>22510672966</v>
      </c>
      <c r="CF39" s="6">
        <v>97.058819999999997</v>
      </c>
      <c r="CH39" s="6"/>
    </row>
    <row r="40" spans="1:86" x14ac:dyDescent="0.2">
      <c r="A40" s="6" t="s">
        <v>333</v>
      </c>
      <c r="B40" s="24">
        <v>46123.246516203704</v>
      </c>
      <c r="C40" s="6" t="s">
        <v>334</v>
      </c>
      <c r="D40" s="6" t="s">
        <v>82</v>
      </c>
      <c r="E40" s="6">
        <v>6267</v>
      </c>
      <c r="F40" s="6">
        <v>11378.67</v>
      </c>
      <c r="G40" s="6">
        <v>6297</v>
      </c>
      <c r="H40" s="6">
        <v>349.68945000000002</v>
      </c>
      <c r="I40" s="6">
        <v>2.4630000000000001</v>
      </c>
      <c r="J40" s="6">
        <v>1.8069999999999999</v>
      </c>
      <c r="K40" s="6" t="b">
        <v>1</v>
      </c>
      <c r="L40" s="6">
        <v>170</v>
      </c>
      <c r="M40" s="6">
        <v>139</v>
      </c>
      <c r="N40" s="6">
        <v>78.569209999999998</v>
      </c>
      <c r="O40" s="6">
        <v>1067</v>
      </c>
      <c r="P40" s="6" t="b">
        <v>1</v>
      </c>
      <c r="Q40" s="6">
        <v>274</v>
      </c>
      <c r="R40" s="6">
        <v>290</v>
      </c>
      <c r="S40" s="6">
        <v>1726999</v>
      </c>
      <c r="T40" s="6">
        <v>145</v>
      </c>
      <c r="U40" s="6">
        <v>94</v>
      </c>
      <c r="X40" s="6">
        <v>1.8156486999999999</v>
      </c>
      <c r="Y40" s="6">
        <v>46.607413999999999</v>
      </c>
      <c r="Z40" s="6">
        <v>22.368223</v>
      </c>
      <c r="AA40" s="6"/>
      <c r="AB40" s="6">
        <v>1.0583942</v>
      </c>
      <c r="AC40" s="6">
        <v>2.0863309999999999</v>
      </c>
      <c r="AD40" s="6"/>
      <c r="AE40" s="6" t="b">
        <v>0</v>
      </c>
      <c r="AF40" s="6" t="b">
        <v>0</v>
      </c>
      <c r="AH40" s="6">
        <v>200</v>
      </c>
      <c r="AK40" s="6">
        <v>2.2222222999999999</v>
      </c>
      <c r="AL40" s="6">
        <v>366</v>
      </c>
      <c r="AM40" s="6">
        <v>94</v>
      </c>
      <c r="AN40" s="6">
        <v>142</v>
      </c>
      <c r="AO40" s="6">
        <v>57</v>
      </c>
      <c r="AP40" s="6">
        <v>163</v>
      </c>
      <c r="AQ40" s="6">
        <v>137</v>
      </c>
      <c r="AR40" s="6">
        <v>145</v>
      </c>
      <c r="AS40" s="6">
        <v>153</v>
      </c>
      <c r="AT40" s="6">
        <v>162</v>
      </c>
      <c r="AU40" s="6">
        <v>166</v>
      </c>
      <c r="AV40" s="6">
        <v>171</v>
      </c>
      <c r="AW40" s="6">
        <v>175</v>
      </c>
      <c r="AX40" s="6">
        <v>2581</v>
      </c>
      <c r="AY40" s="6">
        <v>1857</v>
      </c>
      <c r="AZ40" s="6">
        <v>1503</v>
      </c>
      <c r="BA40" s="6">
        <v>305</v>
      </c>
      <c r="BB40" s="6">
        <v>14</v>
      </c>
      <c r="BC40" s="6">
        <v>7</v>
      </c>
      <c r="BD40" s="6">
        <v>0</v>
      </c>
      <c r="BE40" s="6">
        <v>34</v>
      </c>
      <c r="BF40" s="6">
        <v>56</v>
      </c>
      <c r="BG40" s="6">
        <v>280</v>
      </c>
      <c r="BH40" s="6">
        <v>482</v>
      </c>
      <c r="BI40" s="6">
        <v>822</v>
      </c>
      <c r="BJ40" s="6">
        <v>2421</v>
      </c>
      <c r="BK40" s="6">
        <v>2172</v>
      </c>
      <c r="BL40" s="6">
        <v>410</v>
      </c>
      <c r="BM40" s="6">
        <v>95</v>
      </c>
      <c r="BN40" s="6" t="b">
        <v>0</v>
      </c>
      <c r="BO40" s="6" t="b">
        <v>0</v>
      </c>
      <c r="BP40" s="6" t="b">
        <v>0</v>
      </c>
      <c r="BQ40" s="6">
        <v>6296</v>
      </c>
      <c r="BR40" s="6">
        <v>300</v>
      </c>
      <c r="BS40" s="6">
        <v>300</v>
      </c>
      <c r="BT40" s="6">
        <v>12</v>
      </c>
      <c r="BU40" s="6">
        <v>163</v>
      </c>
      <c r="BW40" s="6">
        <v>310</v>
      </c>
      <c r="BX40" s="6">
        <v>304</v>
      </c>
      <c r="BY40" s="6">
        <v>25270</v>
      </c>
      <c r="BZ40" s="6">
        <v>428</v>
      </c>
      <c r="CA40" s="6" t="s">
        <v>335</v>
      </c>
      <c r="CB40" s="6" t="s">
        <v>332</v>
      </c>
      <c r="CD40" s="6" t="s">
        <v>196</v>
      </c>
      <c r="CE40" s="25">
        <v>22488817603</v>
      </c>
      <c r="CF40" s="6">
        <v>144.61538999999999</v>
      </c>
      <c r="CH40" s="6" t="s">
        <v>336</v>
      </c>
    </row>
    <row r="41" spans="1:86" x14ac:dyDescent="0.2">
      <c r="A41" s="6" t="s">
        <v>337</v>
      </c>
      <c r="B41" s="24">
        <v>46122.293020833335</v>
      </c>
      <c r="C41" s="6" t="s">
        <v>338</v>
      </c>
      <c r="D41" s="6" t="s">
        <v>208</v>
      </c>
      <c r="E41" s="6">
        <v>6334</v>
      </c>
      <c r="F41" s="6">
        <v>54040.98</v>
      </c>
      <c r="G41" s="6">
        <v>6336</v>
      </c>
      <c r="H41" s="6">
        <v>83</v>
      </c>
      <c r="I41" s="6">
        <v>10.903</v>
      </c>
      <c r="J41" s="6">
        <v>8.5269999999999992</v>
      </c>
      <c r="K41" s="6" t="b">
        <v>1</v>
      </c>
      <c r="L41" s="6">
        <v>145</v>
      </c>
      <c r="M41" s="6">
        <v>123</v>
      </c>
      <c r="N41" s="6">
        <v>76.694419999999994</v>
      </c>
      <c r="O41" s="6">
        <v>858</v>
      </c>
      <c r="P41" s="6" t="b">
        <v>1</v>
      </c>
      <c r="Q41" s="6">
        <v>142</v>
      </c>
      <c r="R41" s="6">
        <v>144</v>
      </c>
      <c r="S41" s="6">
        <v>898360</v>
      </c>
      <c r="T41" s="6">
        <v>61.538460000000001</v>
      </c>
      <c r="U41" s="6">
        <v>67</v>
      </c>
      <c r="X41" s="6">
        <v>8.5318880000000004</v>
      </c>
      <c r="Y41" s="6">
        <v>39.329569999999997</v>
      </c>
      <c r="Z41" s="6">
        <v>20.642239</v>
      </c>
      <c r="AA41" s="6">
        <v>234</v>
      </c>
      <c r="AB41" s="6">
        <v>1.0140845000000001</v>
      </c>
      <c r="AC41" s="6">
        <v>1.1707316999999999</v>
      </c>
      <c r="AD41" s="6" t="b">
        <v>1</v>
      </c>
      <c r="AE41" s="6" t="b">
        <v>0</v>
      </c>
      <c r="AF41" s="6" t="b">
        <v>0</v>
      </c>
      <c r="AH41" s="6">
        <v>234</v>
      </c>
      <c r="AK41" s="6"/>
      <c r="AL41" s="6">
        <v>67</v>
      </c>
      <c r="AM41" s="6">
        <v>71</v>
      </c>
      <c r="AN41" s="6"/>
      <c r="AO41" s="6">
        <v>69</v>
      </c>
      <c r="AP41" s="6">
        <v>159</v>
      </c>
      <c r="AQ41" s="6">
        <v>127</v>
      </c>
      <c r="AR41" s="6">
        <v>142</v>
      </c>
      <c r="AS41" s="6">
        <v>148</v>
      </c>
      <c r="AT41" s="6">
        <v>158</v>
      </c>
      <c r="AU41" s="6">
        <v>162</v>
      </c>
      <c r="AV41" s="6">
        <v>167</v>
      </c>
      <c r="AW41" s="6">
        <v>190</v>
      </c>
      <c r="AX41" s="6">
        <v>3635</v>
      </c>
      <c r="AY41" s="6">
        <v>2600</v>
      </c>
      <c r="AZ41" s="6">
        <v>99</v>
      </c>
      <c r="BA41" s="6">
        <v>0</v>
      </c>
      <c r="BB41" s="6">
        <v>0</v>
      </c>
      <c r="BC41" s="6">
        <v>0</v>
      </c>
      <c r="BD41" s="6">
        <v>0</v>
      </c>
      <c r="BE41" s="6">
        <v>623</v>
      </c>
      <c r="BF41" s="6">
        <v>5706</v>
      </c>
      <c r="BG41" s="6">
        <v>5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95</v>
      </c>
      <c r="BN41" s="6" t="b">
        <v>0</v>
      </c>
      <c r="BO41" s="6" t="b">
        <v>0</v>
      </c>
      <c r="BP41" s="6" t="b">
        <v>0</v>
      </c>
      <c r="BQ41" s="6">
        <v>6335</v>
      </c>
      <c r="BR41" s="6">
        <v>1200</v>
      </c>
      <c r="BS41" s="6">
        <v>600</v>
      </c>
      <c r="BW41" s="6">
        <v>148</v>
      </c>
      <c r="BX41" s="6">
        <v>145</v>
      </c>
      <c r="BY41" s="6">
        <v>11013</v>
      </c>
      <c r="BZ41" s="6">
        <v>192</v>
      </c>
      <c r="CA41" s="6" t="s">
        <v>339</v>
      </c>
      <c r="CB41" s="6" t="s">
        <v>340</v>
      </c>
      <c r="CD41" s="6" t="s">
        <v>196</v>
      </c>
      <c r="CE41" s="25">
        <v>2.11324E+18</v>
      </c>
      <c r="CF41" s="6">
        <v>97.10145</v>
      </c>
    </row>
    <row r="42" spans="1:86" x14ac:dyDescent="0.2">
      <c r="A42" s="6" t="s">
        <v>341</v>
      </c>
      <c r="B42" s="24">
        <v>46121.252627314818</v>
      </c>
      <c r="C42" s="6" t="s">
        <v>212</v>
      </c>
      <c r="D42" s="6" t="s">
        <v>199</v>
      </c>
      <c r="E42" s="6">
        <v>3285</v>
      </c>
      <c r="F42" s="6">
        <v>7049.37</v>
      </c>
      <c r="G42" s="6">
        <v>3300</v>
      </c>
      <c r="H42" s="6">
        <v>50.656494000000002</v>
      </c>
      <c r="I42" s="6">
        <v>2.6589999999999998</v>
      </c>
      <c r="J42" s="6">
        <v>2.1360000000000001</v>
      </c>
      <c r="K42" s="6" t="b">
        <v>1</v>
      </c>
      <c r="L42" s="6">
        <v>134</v>
      </c>
      <c r="M42" s="6">
        <v>125</v>
      </c>
      <c r="N42" s="6">
        <v>80.567949999999996</v>
      </c>
      <c r="O42" s="6">
        <v>591</v>
      </c>
      <c r="P42" s="6"/>
      <c r="Q42" s="6"/>
      <c r="R42" s="6"/>
      <c r="S42" s="6"/>
      <c r="T42" s="6">
        <v>59.092869999999998</v>
      </c>
      <c r="U42" s="6">
        <v>32</v>
      </c>
      <c r="X42" s="6">
        <v>2.1459269999999999</v>
      </c>
      <c r="Y42" s="6">
        <v>35.080359999999999</v>
      </c>
      <c r="Z42" s="6">
        <v>19.525238000000002</v>
      </c>
      <c r="AA42" s="6"/>
      <c r="AB42" s="6"/>
      <c r="AC42" s="6"/>
      <c r="AD42" s="6"/>
      <c r="AE42" s="6" t="b">
        <v>0</v>
      </c>
      <c r="AF42" s="6" t="b">
        <v>0</v>
      </c>
      <c r="AH42" s="6">
        <v>200</v>
      </c>
      <c r="AK42" s="6">
        <v>2.2222222999999999</v>
      </c>
      <c r="AL42" s="6"/>
      <c r="AM42" s="6">
        <v>32</v>
      </c>
      <c r="AN42" s="6">
        <v>85</v>
      </c>
      <c r="AO42" s="6">
        <v>57</v>
      </c>
      <c r="AP42" s="6">
        <v>163</v>
      </c>
      <c r="AQ42" s="6">
        <v>137</v>
      </c>
      <c r="AR42" s="6">
        <v>145</v>
      </c>
      <c r="AS42" s="6">
        <v>153</v>
      </c>
      <c r="AT42" s="6">
        <v>162</v>
      </c>
      <c r="AU42" s="6">
        <v>166</v>
      </c>
      <c r="AV42" s="6">
        <v>171</v>
      </c>
      <c r="AW42" s="6">
        <v>175</v>
      </c>
      <c r="AX42" s="6">
        <v>3281</v>
      </c>
      <c r="AY42" s="6">
        <v>0</v>
      </c>
      <c r="AZ42" s="6">
        <v>0</v>
      </c>
      <c r="BA42" s="6">
        <v>0</v>
      </c>
      <c r="BB42" s="6">
        <v>0</v>
      </c>
      <c r="BC42" s="6">
        <v>0</v>
      </c>
      <c r="BD42" s="6">
        <v>0</v>
      </c>
      <c r="BE42" s="6"/>
      <c r="BF42" s="6"/>
      <c r="BG42" s="6"/>
      <c r="BH42" s="6"/>
      <c r="BI42" s="6"/>
      <c r="BJ42" s="6"/>
      <c r="BK42" s="6"/>
      <c r="BL42" s="6"/>
      <c r="BM42" s="6">
        <v>95</v>
      </c>
      <c r="BN42" s="6" t="b">
        <v>0</v>
      </c>
      <c r="BO42" s="6" t="b">
        <v>0</v>
      </c>
      <c r="BP42" s="6" t="b">
        <v>0</v>
      </c>
      <c r="BQ42" s="6">
        <v>3299</v>
      </c>
      <c r="BR42" s="6">
        <v>300</v>
      </c>
      <c r="BS42" s="6">
        <v>300</v>
      </c>
      <c r="BW42" s="6"/>
      <c r="BX42" s="6"/>
      <c r="BY42" s="6"/>
      <c r="BZ42" s="6"/>
      <c r="CA42" s="6" t="s">
        <v>342</v>
      </c>
      <c r="CB42" s="6" t="s">
        <v>332</v>
      </c>
      <c r="CD42" s="6" t="s">
        <v>196</v>
      </c>
      <c r="CE42" s="25">
        <v>22465457352</v>
      </c>
      <c r="CF42" s="6">
        <v>88.888885000000002</v>
      </c>
    </row>
    <row r="43" spans="1:86" x14ac:dyDescent="0.2">
      <c r="A43" s="6" t="s">
        <v>343</v>
      </c>
      <c r="B43" s="24">
        <v>46120.268229166664</v>
      </c>
      <c r="C43" s="6" t="s">
        <v>297</v>
      </c>
      <c r="D43" s="6" t="s">
        <v>208</v>
      </c>
      <c r="E43" s="6">
        <v>2707</v>
      </c>
      <c r="F43" s="6">
        <v>15251.71</v>
      </c>
      <c r="G43" s="6">
        <v>2710</v>
      </c>
      <c r="H43" s="6">
        <v>172</v>
      </c>
      <c r="I43" s="6">
        <v>17.744</v>
      </c>
      <c r="J43" s="6">
        <v>5.625</v>
      </c>
      <c r="K43" s="6" t="b">
        <v>1</v>
      </c>
      <c r="L43" s="6">
        <v>128</v>
      </c>
      <c r="M43" s="6">
        <v>106</v>
      </c>
      <c r="N43" s="6">
        <v>75.492050000000006</v>
      </c>
      <c r="O43" s="6">
        <v>273</v>
      </c>
      <c r="P43" s="6" t="b">
        <v>1</v>
      </c>
      <c r="Q43" s="6">
        <v>106</v>
      </c>
      <c r="R43" s="6">
        <v>107</v>
      </c>
      <c r="S43" s="6">
        <v>286107</v>
      </c>
      <c r="T43" s="6">
        <v>45.726494000000002</v>
      </c>
      <c r="U43" s="6">
        <v>16</v>
      </c>
      <c r="W43" s="6"/>
      <c r="X43" s="6">
        <v>5.6341742999999997</v>
      </c>
      <c r="Y43" s="6">
        <v>35.553400000000003</v>
      </c>
      <c r="Z43" s="6">
        <v>19.224654999999998</v>
      </c>
      <c r="AA43" s="6">
        <v>234</v>
      </c>
      <c r="AB43" s="6">
        <v>1.0094339999999999</v>
      </c>
      <c r="AC43" s="6">
        <v>1.0094339999999999</v>
      </c>
      <c r="AD43" s="6" t="b">
        <v>1</v>
      </c>
      <c r="AE43" s="6" t="b">
        <v>0</v>
      </c>
      <c r="AF43" s="6" t="b">
        <v>0</v>
      </c>
      <c r="AH43" s="6">
        <v>234</v>
      </c>
      <c r="AK43" s="6"/>
      <c r="AL43" s="6">
        <v>16</v>
      </c>
      <c r="AM43" s="6">
        <v>6</v>
      </c>
      <c r="AN43" s="6"/>
      <c r="AO43" s="6">
        <v>62</v>
      </c>
      <c r="AP43" s="6">
        <v>159</v>
      </c>
      <c r="AQ43" s="6">
        <v>127</v>
      </c>
      <c r="AR43" s="6">
        <v>142</v>
      </c>
      <c r="AS43" s="6">
        <v>148</v>
      </c>
      <c r="AT43" s="6">
        <v>158</v>
      </c>
      <c r="AU43" s="6">
        <v>162</v>
      </c>
      <c r="AV43" s="6">
        <v>167</v>
      </c>
      <c r="AW43" s="6">
        <v>190</v>
      </c>
      <c r="AX43" s="6">
        <v>2684</v>
      </c>
      <c r="AY43" s="6">
        <v>23</v>
      </c>
      <c r="AZ43" s="6">
        <v>0</v>
      </c>
      <c r="BA43" s="6">
        <v>0</v>
      </c>
      <c r="BB43" s="6">
        <v>0</v>
      </c>
      <c r="BC43" s="6">
        <v>0</v>
      </c>
      <c r="BD43" s="6">
        <v>0</v>
      </c>
      <c r="BE43" s="6">
        <v>2704</v>
      </c>
      <c r="BF43" s="6">
        <v>3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v>95</v>
      </c>
      <c r="BN43" s="6" t="b">
        <v>0</v>
      </c>
      <c r="BO43" s="6" t="b">
        <v>0</v>
      </c>
      <c r="BP43" s="6" t="b">
        <v>0</v>
      </c>
      <c r="BQ43" s="6">
        <v>2709</v>
      </c>
      <c r="BR43" s="6">
        <v>0</v>
      </c>
      <c r="BS43" s="6">
        <v>0</v>
      </c>
      <c r="BW43" s="6">
        <v>107</v>
      </c>
      <c r="BX43" s="6">
        <v>105</v>
      </c>
      <c r="BY43" s="6">
        <v>7977</v>
      </c>
      <c r="BZ43" s="6">
        <v>158</v>
      </c>
      <c r="CA43" s="6" t="s">
        <v>344</v>
      </c>
      <c r="CB43" s="6" t="s">
        <v>345</v>
      </c>
      <c r="CD43" s="6" t="s">
        <v>196</v>
      </c>
      <c r="CE43" s="25">
        <v>2.11177E+18</v>
      </c>
      <c r="CF43" s="6">
        <v>100</v>
      </c>
    </row>
    <row r="44" spans="1:86" x14ac:dyDescent="0.2">
      <c r="A44" s="6" t="s">
        <v>346</v>
      </c>
      <c r="B44" s="24">
        <v>46119.248506944445</v>
      </c>
      <c r="C44" s="6" t="s">
        <v>347</v>
      </c>
      <c r="D44" s="6" t="s">
        <v>193</v>
      </c>
      <c r="E44" s="6">
        <v>10567</v>
      </c>
      <c r="F44" s="6">
        <v>46274.16</v>
      </c>
      <c r="G44" s="6">
        <v>10770</v>
      </c>
      <c r="H44" s="6">
        <v>608</v>
      </c>
      <c r="I44" s="6">
        <v>12.138999999999999</v>
      </c>
      <c r="J44" s="6">
        <v>4.2969999999999997</v>
      </c>
      <c r="K44" s="6" t="b">
        <v>1</v>
      </c>
      <c r="L44" s="6">
        <v>152</v>
      </c>
      <c r="M44" s="6">
        <v>127</v>
      </c>
      <c r="N44" s="6">
        <v>75.179130000000001</v>
      </c>
      <c r="O44" s="6">
        <v>1746</v>
      </c>
      <c r="P44" s="6" t="b">
        <v>1</v>
      </c>
      <c r="Q44" s="6">
        <v>136</v>
      </c>
      <c r="R44" s="6">
        <v>165</v>
      </c>
      <c r="S44" s="6">
        <v>1466942</v>
      </c>
      <c r="T44" s="6">
        <v>72.36842</v>
      </c>
      <c r="U44" s="6">
        <v>154</v>
      </c>
      <c r="W44" s="6"/>
      <c r="X44" s="6">
        <v>4.3791200000000003</v>
      </c>
      <c r="Y44" s="6">
        <v>38.556114000000001</v>
      </c>
      <c r="Z44" s="6">
        <v>19.302354999999999</v>
      </c>
      <c r="AA44" s="6">
        <v>234</v>
      </c>
      <c r="AB44" s="6">
        <v>1.2132353</v>
      </c>
      <c r="AC44" s="6">
        <v>1.2992125999999999</v>
      </c>
      <c r="AE44" s="6" t="b">
        <v>0</v>
      </c>
      <c r="AF44" s="6" t="b">
        <v>0</v>
      </c>
      <c r="AH44" s="6">
        <v>228</v>
      </c>
      <c r="AK44" s="6"/>
      <c r="AL44" s="6">
        <v>154</v>
      </c>
      <c r="AM44" s="6">
        <v>90</v>
      </c>
      <c r="AN44" s="6"/>
      <c r="AO44" s="6">
        <v>92</v>
      </c>
      <c r="AP44" s="6">
        <v>159</v>
      </c>
      <c r="AQ44" s="6">
        <v>127</v>
      </c>
      <c r="AR44" s="6">
        <v>142</v>
      </c>
      <c r="AS44" s="6">
        <v>148</v>
      </c>
      <c r="AT44" s="6">
        <v>158</v>
      </c>
      <c r="AU44" s="6">
        <v>162</v>
      </c>
      <c r="AV44" s="6">
        <v>167</v>
      </c>
      <c r="AW44" s="6">
        <v>190</v>
      </c>
      <c r="AX44" s="6">
        <v>4906</v>
      </c>
      <c r="AY44" s="6">
        <v>4957</v>
      </c>
      <c r="AZ44" s="6">
        <v>574</v>
      </c>
      <c r="BA44" s="6">
        <v>130</v>
      </c>
      <c r="BB44" s="6">
        <v>0</v>
      </c>
      <c r="BC44" s="6">
        <v>0</v>
      </c>
      <c r="BD44" s="6">
        <v>0</v>
      </c>
      <c r="BE44" s="6">
        <v>3245</v>
      </c>
      <c r="BF44" s="6">
        <v>3613</v>
      </c>
      <c r="BG44" s="6">
        <v>1949</v>
      </c>
      <c r="BH44" s="6">
        <v>1060</v>
      </c>
      <c r="BI44" s="6">
        <v>483</v>
      </c>
      <c r="BJ44" s="6">
        <v>202</v>
      </c>
      <c r="BK44" s="6">
        <v>15</v>
      </c>
      <c r="BL44" s="6">
        <v>1287</v>
      </c>
      <c r="BM44" s="6">
        <v>95</v>
      </c>
      <c r="BN44" s="6" t="b">
        <v>0</v>
      </c>
      <c r="BO44" s="6" t="b">
        <v>0</v>
      </c>
      <c r="BP44" s="6" t="b">
        <v>0</v>
      </c>
      <c r="BQ44" s="6">
        <v>10769</v>
      </c>
      <c r="BR44" s="6">
        <v>1200</v>
      </c>
      <c r="BS44" s="6">
        <v>600</v>
      </c>
      <c r="BW44" s="6">
        <v>170</v>
      </c>
      <c r="BX44" s="6">
        <v>166</v>
      </c>
      <c r="BY44" s="6">
        <v>14982</v>
      </c>
      <c r="BZ44" s="6">
        <v>857</v>
      </c>
      <c r="CA44" s="6" t="s">
        <v>348</v>
      </c>
      <c r="CB44" s="6" t="s">
        <v>349</v>
      </c>
      <c r="CD44" s="6" t="s">
        <v>196</v>
      </c>
      <c r="CE44" s="6">
        <v>22440589557</v>
      </c>
      <c r="CF44" s="6">
        <v>137.5</v>
      </c>
    </row>
    <row r="45" spans="1:86" x14ac:dyDescent="0.2">
      <c r="A45" s="6" t="s">
        <v>350</v>
      </c>
      <c r="B45" s="24">
        <v>46118.264062499999</v>
      </c>
      <c r="C45" s="6"/>
      <c r="D45" s="6" t="s">
        <v>199</v>
      </c>
      <c r="E45" s="6">
        <v>3322</v>
      </c>
      <c r="F45" s="6">
        <v>6855.19</v>
      </c>
      <c r="G45" s="6">
        <v>3327</v>
      </c>
      <c r="H45" s="6">
        <v>2.4719237999999999</v>
      </c>
      <c r="I45" s="6">
        <v>2.5379999999999998</v>
      </c>
      <c r="J45" s="6">
        <v>2.06</v>
      </c>
      <c r="K45" s="6" t="b">
        <v>1</v>
      </c>
      <c r="L45" s="6">
        <v>138</v>
      </c>
      <c r="M45" s="6">
        <v>125</v>
      </c>
      <c r="N45" s="6">
        <v>79.305430000000001</v>
      </c>
      <c r="O45" s="6">
        <v>559</v>
      </c>
      <c r="P45" s="6"/>
      <c r="Q45" s="6"/>
      <c r="R45" s="6"/>
      <c r="S45" s="6"/>
      <c r="T45" s="6">
        <v>45.376213</v>
      </c>
      <c r="U45" s="6">
        <v>19</v>
      </c>
      <c r="W45" s="6">
        <v>2</v>
      </c>
      <c r="X45" s="6">
        <v>2.0635731000000002</v>
      </c>
      <c r="Y45" s="6">
        <v>20.827971999999999</v>
      </c>
      <c r="Z45" s="6">
        <v>16.056784</v>
      </c>
      <c r="AA45" s="6"/>
      <c r="AB45" s="6"/>
      <c r="AC45" s="6"/>
      <c r="AD45" s="6"/>
      <c r="AE45" s="6" t="b">
        <v>0</v>
      </c>
      <c r="AF45" s="6" t="b">
        <v>0</v>
      </c>
      <c r="AH45" s="6">
        <v>200</v>
      </c>
      <c r="AK45" s="6">
        <v>2.2222222999999999</v>
      </c>
      <c r="AL45" s="6"/>
      <c r="AM45" s="6">
        <v>19</v>
      </c>
      <c r="AN45" s="6">
        <v>78</v>
      </c>
      <c r="AO45" s="6">
        <v>92</v>
      </c>
      <c r="AP45" s="6">
        <v>163</v>
      </c>
      <c r="AQ45" s="6">
        <v>137</v>
      </c>
      <c r="AR45" s="6">
        <v>145</v>
      </c>
      <c r="AS45" s="6">
        <v>153</v>
      </c>
      <c r="AT45" s="6">
        <v>162</v>
      </c>
      <c r="AU45" s="6">
        <v>166</v>
      </c>
      <c r="AV45" s="6">
        <v>171</v>
      </c>
      <c r="AW45" s="6">
        <v>175</v>
      </c>
      <c r="AX45" s="6">
        <v>3279</v>
      </c>
      <c r="AY45" s="6">
        <v>49</v>
      </c>
      <c r="AZ45" s="6">
        <v>0</v>
      </c>
      <c r="BA45" s="6">
        <v>0</v>
      </c>
      <c r="BB45" s="6">
        <v>0</v>
      </c>
      <c r="BC45" s="6">
        <v>0</v>
      </c>
      <c r="BD45" s="6">
        <v>0</v>
      </c>
      <c r="BE45" s="6"/>
      <c r="BF45" s="6"/>
      <c r="BG45" s="6"/>
      <c r="BH45" s="6"/>
      <c r="BI45" s="6"/>
      <c r="BJ45" s="6"/>
      <c r="BK45" s="6"/>
      <c r="BL45" s="6"/>
      <c r="BM45" s="6">
        <v>95</v>
      </c>
      <c r="BN45" s="6" t="b">
        <v>0</v>
      </c>
      <c r="BO45" s="6" t="b">
        <v>0</v>
      </c>
      <c r="BP45" s="6" t="b">
        <v>0</v>
      </c>
      <c r="BQ45" s="6">
        <v>3322</v>
      </c>
      <c r="BR45" s="6">
        <v>300</v>
      </c>
      <c r="BS45" s="6">
        <v>300</v>
      </c>
      <c r="BT45" s="6"/>
      <c r="BU45" s="6"/>
      <c r="BW45" s="6"/>
      <c r="BX45" s="6"/>
      <c r="BY45" s="6"/>
      <c r="BZ45" s="6"/>
      <c r="CA45" s="6" t="s">
        <v>351</v>
      </c>
      <c r="CB45" s="6" t="s">
        <v>332</v>
      </c>
      <c r="CD45" s="6" t="s">
        <v>196</v>
      </c>
      <c r="CE45" s="6">
        <v>22427486275</v>
      </c>
      <c r="CF45" s="6">
        <v>52.77778</v>
      </c>
    </row>
    <row r="46" spans="1:86" x14ac:dyDescent="0.2">
      <c r="A46" s="6" t="s">
        <v>352</v>
      </c>
      <c r="B46" s="24">
        <v>46116.261550925927</v>
      </c>
      <c r="C46" s="6" t="s">
        <v>334</v>
      </c>
      <c r="D46" s="6" t="s">
        <v>199</v>
      </c>
      <c r="E46" s="6">
        <v>3585</v>
      </c>
      <c r="F46" s="6">
        <v>7205.89</v>
      </c>
      <c r="G46" s="6">
        <v>3600</v>
      </c>
      <c r="H46" s="6">
        <v>44.281494000000002</v>
      </c>
      <c r="I46" s="6">
        <v>2.4449999999999998</v>
      </c>
      <c r="J46" s="6">
        <v>2.0019999999999998</v>
      </c>
      <c r="K46" s="6" t="b">
        <v>1</v>
      </c>
      <c r="L46" s="6">
        <v>132</v>
      </c>
      <c r="M46" s="6">
        <v>123</v>
      </c>
      <c r="N46" s="6">
        <v>79.808250000000001</v>
      </c>
      <c r="O46" s="6">
        <v>614</v>
      </c>
      <c r="P46" s="6"/>
      <c r="Q46" s="6"/>
      <c r="R46" s="6"/>
      <c r="S46" s="6"/>
      <c r="T46" s="6">
        <v>51.968741999999999</v>
      </c>
      <c r="U46" s="6">
        <v>27</v>
      </c>
      <c r="X46" s="6">
        <v>2.0100112000000001</v>
      </c>
      <c r="Y46" s="6">
        <v>24.350238999999998</v>
      </c>
      <c r="Z46" s="6">
        <v>16.37105</v>
      </c>
      <c r="AA46" s="6"/>
      <c r="AB46" s="6"/>
      <c r="AC46" s="6"/>
      <c r="AD46" s="6"/>
      <c r="AE46" s="6" t="b">
        <v>0</v>
      </c>
      <c r="AF46" s="6" t="b">
        <v>0</v>
      </c>
      <c r="AH46" s="6">
        <v>200</v>
      </c>
      <c r="AK46" s="6">
        <v>2.2222222999999999</v>
      </c>
      <c r="AL46" s="6"/>
      <c r="AM46" s="6">
        <v>27</v>
      </c>
      <c r="AN46" s="6">
        <v>83</v>
      </c>
      <c r="AO46" s="6">
        <v>73</v>
      </c>
      <c r="AP46" s="6">
        <v>163</v>
      </c>
      <c r="AQ46" s="6">
        <v>137</v>
      </c>
      <c r="AR46" s="6">
        <v>145</v>
      </c>
      <c r="AS46" s="6">
        <v>153</v>
      </c>
      <c r="AT46" s="6">
        <v>162</v>
      </c>
      <c r="AU46" s="6">
        <v>166</v>
      </c>
      <c r="AV46" s="6">
        <v>171</v>
      </c>
      <c r="AW46" s="6">
        <v>175</v>
      </c>
      <c r="AX46" s="6">
        <v>3580</v>
      </c>
      <c r="AY46" s="6">
        <v>0</v>
      </c>
      <c r="AZ46" s="6">
        <v>0</v>
      </c>
      <c r="BA46" s="6">
        <v>0</v>
      </c>
      <c r="BB46" s="6">
        <v>0</v>
      </c>
      <c r="BC46" s="6">
        <v>0</v>
      </c>
      <c r="BD46" s="6">
        <v>0</v>
      </c>
      <c r="BE46" s="6"/>
      <c r="BF46" s="6"/>
      <c r="BG46" s="6"/>
      <c r="BH46" s="6"/>
      <c r="BI46" s="6"/>
      <c r="BJ46" s="6"/>
      <c r="BK46" s="6"/>
      <c r="BL46" s="6"/>
      <c r="BM46" s="6">
        <v>95</v>
      </c>
      <c r="BN46" s="6" t="b">
        <v>0</v>
      </c>
      <c r="BO46" s="6" t="b">
        <v>0</v>
      </c>
      <c r="BP46" s="6" t="b">
        <v>0</v>
      </c>
      <c r="BQ46" s="6">
        <v>3599</v>
      </c>
      <c r="BR46" s="6">
        <v>300</v>
      </c>
      <c r="BS46" s="6">
        <v>300</v>
      </c>
      <c r="BT46" s="6"/>
      <c r="BU46" s="6"/>
      <c r="BW46" s="6"/>
      <c r="BX46" s="6"/>
      <c r="BY46" s="6"/>
      <c r="BZ46" s="6"/>
      <c r="CA46" s="6" t="s">
        <v>353</v>
      </c>
      <c r="CB46" s="6" t="s">
        <v>354</v>
      </c>
      <c r="CD46" s="6" t="s">
        <v>196</v>
      </c>
      <c r="CE46" s="25">
        <v>22405211911</v>
      </c>
      <c r="CF46" s="6">
        <v>69.230770000000007</v>
      </c>
    </row>
    <row r="47" spans="1:86" x14ac:dyDescent="0.2">
      <c r="A47" s="6" t="s">
        <v>355</v>
      </c>
      <c r="B47" s="24">
        <v>46115.307314814818</v>
      </c>
      <c r="C47" s="6" t="s">
        <v>356</v>
      </c>
      <c r="D47" s="6" t="s">
        <v>208</v>
      </c>
      <c r="E47" s="6">
        <v>3913</v>
      </c>
      <c r="F47" s="6">
        <v>27431.23</v>
      </c>
      <c r="G47" s="6">
        <v>3953</v>
      </c>
      <c r="H47" s="6">
        <v>43</v>
      </c>
      <c r="I47" s="6">
        <v>12.023999999999999</v>
      </c>
      <c r="J47" s="6">
        <v>7.0010000000000003</v>
      </c>
      <c r="K47" s="6" t="b">
        <v>1</v>
      </c>
      <c r="L47" s="6">
        <v>165</v>
      </c>
      <c r="M47" s="6">
        <v>109</v>
      </c>
      <c r="N47" s="6">
        <v>75.40325</v>
      </c>
      <c r="O47" s="6">
        <v>360</v>
      </c>
      <c r="P47" s="6" t="b">
        <v>1</v>
      </c>
      <c r="Q47" s="6">
        <v>96</v>
      </c>
      <c r="R47" s="6">
        <v>144</v>
      </c>
      <c r="S47" s="6">
        <v>377229</v>
      </c>
      <c r="T47" s="6">
        <v>61.538460000000001</v>
      </c>
      <c r="U47" s="6">
        <v>41</v>
      </c>
      <c r="X47" s="6">
        <v>7.010281</v>
      </c>
      <c r="Y47" s="6">
        <v>23.943328999999999</v>
      </c>
      <c r="Z47" s="6">
        <v>16.114943</v>
      </c>
      <c r="AA47" s="6">
        <v>234</v>
      </c>
      <c r="AB47" s="6">
        <v>1.5</v>
      </c>
      <c r="AC47" s="6">
        <v>1.3211010000000001</v>
      </c>
      <c r="AD47" s="6" t="b">
        <v>1</v>
      </c>
      <c r="AE47" s="6" t="b">
        <v>0</v>
      </c>
      <c r="AF47" s="6" t="b">
        <v>0</v>
      </c>
      <c r="AH47" s="6">
        <v>234</v>
      </c>
      <c r="AL47" s="6">
        <v>41</v>
      </c>
      <c r="AM47" s="6">
        <v>31</v>
      </c>
      <c r="AO47" s="6">
        <v>58</v>
      </c>
      <c r="AP47" s="6">
        <v>159</v>
      </c>
      <c r="AQ47" s="6">
        <v>127</v>
      </c>
      <c r="AR47" s="6">
        <v>142</v>
      </c>
      <c r="AS47" s="6">
        <v>148</v>
      </c>
      <c r="AT47" s="6">
        <v>158</v>
      </c>
      <c r="AU47" s="6">
        <v>162</v>
      </c>
      <c r="AV47" s="6">
        <v>167</v>
      </c>
      <c r="AW47" s="6">
        <v>190</v>
      </c>
      <c r="AX47" s="6">
        <v>3540</v>
      </c>
      <c r="AY47" s="6">
        <v>91</v>
      </c>
      <c r="AZ47" s="6">
        <v>52</v>
      </c>
      <c r="BA47" s="6">
        <v>118</v>
      </c>
      <c r="BB47" s="6">
        <v>69</v>
      </c>
      <c r="BC47" s="6">
        <v>43</v>
      </c>
      <c r="BD47" s="6">
        <v>0</v>
      </c>
      <c r="BE47" s="6">
        <v>3607</v>
      </c>
      <c r="BF47" s="6">
        <v>19</v>
      </c>
      <c r="BG47" s="6">
        <v>2</v>
      </c>
      <c r="BH47" s="6">
        <v>37</v>
      </c>
      <c r="BI47" s="6">
        <v>181</v>
      </c>
      <c r="BJ47" s="6">
        <v>67</v>
      </c>
      <c r="BK47" s="6">
        <v>0</v>
      </c>
      <c r="BL47" s="6">
        <v>9</v>
      </c>
      <c r="BM47" s="6">
        <v>95</v>
      </c>
      <c r="BN47" s="6" t="b">
        <v>0</v>
      </c>
      <c r="BO47" s="6" t="b">
        <v>0</v>
      </c>
      <c r="BP47" s="6" t="b">
        <v>0</v>
      </c>
      <c r="BQ47" s="6">
        <v>3915</v>
      </c>
      <c r="BR47" s="6">
        <v>1200</v>
      </c>
      <c r="BS47" s="6">
        <v>600</v>
      </c>
      <c r="BT47" s="6">
        <v>25</v>
      </c>
      <c r="BU47" s="6">
        <v>161</v>
      </c>
      <c r="BW47" s="6">
        <v>212</v>
      </c>
      <c r="BX47" s="6">
        <v>208</v>
      </c>
      <c r="BY47" s="6">
        <v>17878</v>
      </c>
      <c r="BZ47" s="6">
        <v>334</v>
      </c>
      <c r="CA47" s="6" t="s">
        <v>357</v>
      </c>
      <c r="CB47" s="6" t="s">
        <v>358</v>
      </c>
      <c r="CD47" s="6" t="s">
        <v>196</v>
      </c>
      <c r="CE47" s="25">
        <v>2.10817E+18</v>
      </c>
      <c r="CF47" s="6">
        <v>100.333336</v>
      </c>
    </row>
    <row r="48" spans="1:86" x14ac:dyDescent="0.2">
      <c r="A48" s="6" t="s">
        <v>359</v>
      </c>
      <c r="B48" s="24">
        <v>46114.25880787037</v>
      </c>
      <c r="C48" s="6" t="s">
        <v>297</v>
      </c>
      <c r="D48" s="6" t="s">
        <v>208</v>
      </c>
      <c r="E48" s="6">
        <v>2124</v>
      </c>
      <c r="F48" s="6">
        <v>15351.11</v>
      </c>
      <c r="G48" s="6">
        <v>2126</v>
      </c>
      <c r="H48" s="6">
        <v>54</v>
      </c>
      <c r="I48" s="6">
        <v>11.756</v>
      </c>
      <c r="J48" s="6">
        <v>7.2169999999999996</v>
      </c>
      <c r="K48" s="6" t="b">
        <v>1</v>
      </c>
      <c r="L48" s="6">
        <v>123</v>
      </c>
      <c r="M48" s="6">
        <v>103</v>
      </c>
      <c r="N48" s="6">
        <v>77.920659999999998</v>
      </c>
      <c r="O48" s="6">
        <v>211</v>
      </c>
      <c r="P48" s="6" t="b">
        <v>1</v>
      </c>
      <c r="Q48" s="6">
        <v>104</v>
      </c>
      <c r="R48" s="6">
        <v>106</v>
      </c>
      <c r="S48" s="6">
        <v>221876</v>
      </c>
      <c r="T48" s="6">
        <v>45.299145000000003</v>
      </c>
      <c r="U48" s="6">
        <v>12</v>
      </c>
      <c r="X48" s="6">
        <v>7.2274529999999997</v>
      </c>
      <c r="Y48" s="6">
        <v>21.324021999999999</v>
      </c>
      <c r="Z48" s="6">
        <v>15.515331</v>
      </c>
      <c r="AA48" s="6">
        <v>234</v>
      </c>
      <c r="AB48" s="6">
        <v>1.0192307</v>
      </c>
      <c r="AC48" s="6">
        <v>1.0291262000000001</v>
      </c>
      <c r="AD48" s="6" t="b">
        <v>1</v>
      </c>
      <c r="AE48" s="6" t="b">
        <v>0</v>
      </c>
      <c r="AF48" s="6" t="b">
        <v>0</v>
      </c>
      <c r="AH48" s="6">
        <v>234</v>
      </c>
      <c r="AL48" s="6">
        <v>12</v>
      </c>
      <c r="AM48" s="6">
        <v>12</v>
      </c>
      <c r="AO48" s="6">
        <v>58</v>
      </c>
      <c r="AP48" s="6">
        <v>159</v>
      </c>
      <c r="AQ48" s="6">
        <v>127</v>
      </c>
      <c r="AR48" s="6">
        <v>142</v>
      </c>
      <c r="AS48" s="6">
        <v>148</v>
      </c>
      <c r="AT48" s="6">
        <v>158</v>
      </c>
      <c r="AU48" s="6">
        <v>162</v>
      </c>
      <c r="AV48" s="6">
        <v>167</v>
      </c>
      <c r="AW48" s="6">
        <v>190</v>
      </c>
      <c r="AX48" s="6">
        <v>2124</v>
      </c>
      <c r="AY48" s="6">
        <v>0</v>
      </c>
      <c r="AZ48" s="6">
        <v>0</v>
      </c>
      <c r="BA48" s="6">
        <v>0</v>
      </c>
      <c r="BB48" s="6">
        <v>0</v>
      </c>
      <c r="BC48" s="6">
        <v>0</v>
      </c>
      <c r="BD48" s="6">
        <v>0</v>
      </c>
      <c r="BE48" s="6">
        <v>2124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95</v>
      </c>
      <c r="BN48" s="6" t="b">
        <v>0</v>
      </c>
      <c r="BO48" s="6" t="b">
        <v>0</v>
      </c>
      <c r="BP48" s="6" t="b">
        <v>0</v>
      </c>
      <c r="BQ48" s="6">
        <v>2125</v>
      </c>
      <c r="BR48" s="6">
        <v>0</v>
      </c>
      <c r="BS48" s="6">
        <v>0</v>
      </c>
      <c r="BT48" s="6"/>
      <c r="BU48" s="6"/>
      <c r="BW48" s="6">
        <v>106</v>
      </c>
      <c r="BX48" s="6">
        <v>104</v>
      </c>
      <c r="BY48" s="6">
        <v>7948</v>
      </c>
      <c r="BZ48" s="6">
        <v>136</v>
      </c>
      <c r="CA48" s="6" t="s">
        <v>360</v>
      </c>
      <c r="CB48" s="6" t="s">
        <v>361</v>
      </c>
      <c r="CD48" s="6" t="s">
        <v>196</v>
      </c>
      <c r="CE48" s="25">
        <v>2.10741E+18</v>
      </c>
      <c r="CF48" s="6">
        <v>92.307689999999994</v>
      </c>
    </row>
    <row r="49" spans="1:84" x14ac:dyDescent="0.2">
      <c r="A49" s="6" t="s">
        <v>362</v>
      </c>
      <c r="B49" s="24">
        <v>46113.338807870372</v>
      </c>
      <c r="C49" s="6" t="s">
        <v>363</v>
      </c>
      <c r="D49" s="6" t="s">
        <v>208</v>
      </c>
      <c r="E49" s="6">
        <v>3610</v>
      </c>
      <c r="F49" s="6">
        <v>18515.63</v>
      </c>
      <c r="G49" s="6">
        <v>3692</v>
      </c>
      <c r="H49" s="6">
        <v>179</v>
      </c>
      <c r="I49" s="6">
        <v>13.631</v>
      </c>
      <c r="J49" s="6">
        <v>5.1239999999999997</v>
      </c>
      <c r="K49" s="6" t="b">
        <v>1</v>
      </c>
      <c r="L49" s="6">
        <v>175</v>
      </c>
      <c r="M49" s="6">
        <v>130</v>
      </c>
      <c r="N49" s="6">
        <v>73.224170000000001</v>
      </c>
      <c r="O49" s="6">
        <v>442</v>
      </c>
      <c r="P49" s="6" t="b">
        <v>1</v>
      </c>
      <c r="Q49" s="6">
        <v>128</v>
      </c>
      <c r="R49" s="6">
        <v>186</v>
      </c>
      <c r="S49" s="6">
        <v>463290</v>
      </c>
      <c r="T49" s="6">
        <v>81.578950000000006</v>
      </c>
      <c r="U49" s="6">
        <v>67</v>
      </c>
      <c r="X49" s="6">
        <v>5.1289835000000004</v>
      </c>
      <c r="Y49" s="6">
        <v>22.755865</v>
      </c>
      <c r="Z49" s="6">
        <v>15.600034000000001</v>
      </c>
      <c r="AA49" s="6">
        <v>234</v>
      </c>
      <c r="AB49" s="6">
        <v>1.453125</v>
      </c>
      <c r="AC49" s="6">
        <v>1.4307692000000001</v>
      </c>
      <c r="AD49" s="6" t="b">
        <v>1</v>
      </c>
      <c r="AE49" s="6" t="b">
        <v>0</v>
      </c>
      <c r="AF49" s="6" t="b">
        <v>0</v>
      </c>
      <c r="AH49" s="6">
        <v>228</v>
      </c>
      <c r="AK49" s="6"/>
      <c r="AL49" s="6">
        <v>67</v>
      </c>
      <c r="AM49" s="6">
        <v>63</v>
      </c>
      <c r="AN49" s="6"/>
      <c r="AO49" s="6">
        <v>58</v>
      </c>
      <c r="AP49" s="6">
        <v>155</v>
      </c>
      <c r="AQ49" s="6">
        <v>124</v>
      </c>
      <c r="AR49" s="6">
        <v>138</v>
      </c>
      <c r="AS49" s="6">
        <v>144</v>
      </c>
      <c r="AT49" s="6">
        <v>154</v>
      </c>
      <c r="AU49" s="6">
        <v>158</v>
      </c>
      <c r="AV49" s="6">
        <v>163</v>
      </c>
      <c r="AW49" s="6">
        <v>190</v>
      </c>
      <c r="AX49" s="6">
        <v>2063</v>
      </c>
      <c r="AY49" s="6">
        <v>238</v>
      </c>
      <c r="AZ49" s="6">
        <v>133</v>
      </c>
      <c r="BA49" s="6">
        <v>287</v>
      </c>
      <c r="BB49" s="6">
        <v>141</v>
      </c>
      <c r="BC49" s="6">
        <v>192</v>
      </c>
      <c r="BD49" s="6">
        <v>556</v>
      </c>
      <c r="BE49" s="6">
        <v>2417</v>
      </c>
      <c r="BF49" s="6">
        <v>17</v>
      </c>
      <c r="BG49" s="6">
        <v>36</v>
      </c>
      <c r="BH49" s="6">
        <v>507</v>
      </c>
      <c r="BI49" s="6">
        <v>569</v>
      </c>
      <c r="BJ49" s="6">
        <v>64</v>
      </c>
      <c r="BK49" s="6">
        <v>0</v>
      </c>
      <c r="BL49" s="6">
        <v>197</v>
      </c>
      <c r="BM49" s="6">
        <v>95</v>
      </c>
      <c r="BN49" s="6" t="b">
        <v>0</v>
      </c>
      <c r="BO49" s="6" t="b">
        <v>0</v>
      </c>
      <c r="BP49" s="6" t="b">
        <v>0</v>
      </c>
      <c r="BQ49" s="6">
        <v>3614</v>
      </c>
      <c r="BR49" s="6">
        <v>1200</v>
      </c>
      <c r="BS49" s="6">
        <v>600</v>
      </c>
      <c r="BT49" s="6">
        <v>27</v>
      </c>
      <c r="BU49" s="6">
        <v>170</v>
      </c>
      <c r="BW49" s="6">
        <v>234</v>
      </c>
      <c r="BX49" s="6">
        <v>229</v>
      </c>
      <c r="BY49" s="6">
        <v>19677</v>
      </c>
      <c r="BZ49" s="6">
        <v>296</v>
      </c>
      <c r="CA49" s="6" t="s">
        <v>364</v>
      </c>
      <c r="CB49" s="6" t="s">
        <v>365</v>
      </c>
      <c r="CD49" s="6" t="s">
        <v>196</v>
      </c>
      <c r="CE49" s="25">
        <v>2.10675E+18</v>
      </c>
      <c r="CF49" s="6">
        <v>100.27778000000001</v>
      </c>
    </row>
    <row r="50" spans="1:84" x14ac:dyDescent="0.2">
      <c r="A50" s="6" t="s">
        <v>366</v>
      </c>
      <c r="B50" s="24">
        <v>46112.275787037041</v>
      </c>
      <c r="C50" s="6" t="s">
        <v>367</v>
      </c>
      <c r="D50" s="6" t="s">
        <v>208</v>
      </c>
      <c r="E50" s="6">
        <v>1812</v>
      </c>
      <c r="F50" s="6">
        <v>11022.18</v>
      </c>
      <c r="G50" s="6">
        <v>1814</v>
      </c>
      <c r="H50" s="6">
        <v>165</v>
      </c>
      <c r="I50" s="6">
        <v>16.247</v>
      </c>
      <c r="J50" s="6">
        <v>6.0720000000000001</v>
      </c>
      <c r="K50" s="6" t="b">
        <v>1</v>
      </c>
      <c r="L50" s="6">
        <v>157</v>
      </c>
      <c r="M50" s="6">
        <v>125</v>
      </c>
      <c r="N50" s="6">
        <v>86.285240000000002</v>
      </c>
      <c r="O50" s="6">
        <v>260</v>
      </c>
      <c r="P50" s="6" t="b">
        <v>1</v>
      </c>
      <c r="Q50" s="6">
        <v>150</v>
      </c>
      <c r="R50" s="6">
        <v>175</v>
      </c>
      <c r="S50" s="6">
        <v>272307</v>
      </c>
      <c r="T50" s="6">
        <v>76.754390000000001</v>
      </c>
      <c r="U50" s="6">
        <v>30</v>
      </c>
      <c r="X50" s="6">
        <v>6.0828804999999999</v>
      </c>
      <c r="Y50" s="6">
        <v>15.961513999999999</v>
      </c>
      <c r="Z50" s="6">
        <v>14.36154</v>
      </c>
      <c r="AA50" s="6">
        <v>212</v>
      </c>
      <c r="AB50" s="6">
        <v>1.1666666000000001</v>
      </c>
      <c r="AC50" s="6">
        <v>1.4</v>
      </c>
      <c r="AD50" s="6" t="b">
        <v>1</v>
      </c>
      <c r="AE50" s="6" t="b">
        <v>0</v>
      </c>
      <c r="AF50" s="6" t="b">
        <v>0</v>
      </c>
      <c r="AH50" s="6">
        <v>228</v>
      </c>
      <c r="AK50" s="6"/>
      <c r="AL50" s="6">
        <v>30</v>
      </c>
      <c r="AM50" s="6">
        <v>25</v>
      </c>
      <c r="AN50" s="6"/>
      <c r="AO50" s="6">
        <v>58</v>
      </c>
      <c r="AP50" s="6">
        <v>155</v>
      </c>
      <c r="AQ50" s="6">
        <v>124</v>
      </c>
      <c r="AR50" s="6">
        <v>138</v>
      </c>
      <c r="AS50" s="6">
        <v>144</v>
      </c>
      <c r="AT50" s="6">
        <v>154</v>
      </c>
      <c r="AU50" s="6">
        <v>158</v>
      </c>
      <c r="AV50" s="6">
        <v>163</v>
      </c>
      <c r="AW50" s="6">
        <v>190</v>
      </c>
      <c r="AX50" s="6">
        <v>827</v>
      </c>
      <c r="AY50" s="6">
        <v>553</v>
      </c>
      <c r="AZ50" s="6">
        <v>129</v>
      </c>
      <c r="BA50" s="6">
        <v>243</v>
      </c>
      <c r="BB50" s="6">
        <v>60</v>
      </c>
      <c r="BC50" s="6">
        <v>0</v>
      </c>
      <c r="BD50" s="6">
        <v>0</v>
      </c>
      <c r="BE50" s="6">
        <v>796</v>
      </c>
      <c r="BF50" s="6">
        <v>617</v>
      </c>
      <c r="BG50" s="6">
        <v>106</v>
      </c>
      <c r="BH50" s="6">
        <v>9</v>
      </c>
      <c r="BI50" s="6">
        <v>231</v>
      </c>
      <c r="BJ50" s="6">
        <v>53</v>
      </c>
      <c r="BK50" s="6">
        <v>0</v>
      </c>
      <c r="BL50" s="6">
        <v>6</v>
      </c>
      <c r="BM50" s="6">
        <v>95</v>
      </c>
      <c r="BN50" s="6" t="b">
        <v>0</v>
      </c>
      <c r="BO50" s="6" t="b">
        <v>0</v>
      </c>
      <c r="BP50" s="6" t="b">
        <v>0</v>
      </c>
      <c r="BQ50" s="6">
        <v>1813</v>
      </c>
      <c r="BR50" s="6">
        <v>0</v>
      </c>
      <c r="BS50" s="6">
        <v>0</v>
      </c>
      <c r="BT50" s="6">
        <v>16</v>
      </c>
      <c r="BU50" s="6">
        <v>157</v>
      </c>
      <c r="BW50" s="6">
        <v>175</v>
      </c>
      <c r="BX50" s="6">
        <v>171</v>
      </c>
      <c r="BY50" s="6">
        <v>14636</v>
      </c>
      <c r="BZ50" s="6">
        <v>348</v>
      </c>
      <c r="CA50" s="6" t="s">
        <v>368</v>
      </c>
      <c r="CB50" s="6" t="s">
        <v>369</v>
      </c>
      <c r="CD50" s="6" t="s">
        <v>196</v>
      </c>
      <c r="CE50" s="25">
        <v>2.10598E+18</v>
      </c>
      <c r="CF50" s="6">
        <v>103.44826999999999</v>
      </c>
    </row>
    <row r="51" spans="1:84" x14ac:dyDescent="0.2">
      <c r="A51" s="6" t="s">
        <v>370</v>
      </c>
      <c r="B51" s="24">
        <v>46111.262094907404</v>
      </c>
      <c r="C51" s="6" t="s">
        <v>371</v>
      </c>
      <c r="D51" s="6" t="s">
        <v>199</v>
      </c>
      <c r="E51" s="6">
        <v>2383</v>
      </c>
      <c r="F51" s="6">
        <v>4413.67</v>
      </c>
      <c r="G51" s="6">
        <v>2400</v>
      </c>
      <c r="H51" s="6">
        <v>30.85913</v>
      </c>
      <c r="I51" s="6">
        <v>2.1829999999999998</v>
      </c>
      <c r="J51" s="6">
        <v>1.839</v>
      </c>
      <c r="K51" s="6" t="b">
        <v>1</v>
      </c>
      <c r="L51" s="6">
        <v>136</v>
      </c>
      <c r="M51" s="6">
        <v>123</v>
      </c>
      <c r="N51" s="6">
        <v>78.769683999999998</v>
      </c>
      <c r="O51" s="6">
        <v>438</v>
      </c>
      <c r="P51" s="6"/>
      <c r="Q51" s="6"/>
      <c r="R51" s="6"/>
      <c r="S51" s="6"/>
      <c r="T51" s="6">
        <v>57.457599999999999</v>
      </c>
      <c r="U51" s="6">
        <v>22</v>
      </c>
      <c r="X51" s="6">
        <v>1.8521485</v>
      </c>
      <c r="Y51" s="6">
        <v>13.805695</v>
      </c>
      <c r="Z51" s="6">
        <v>13.984728</v>
      </c>
      <c r="AA51" s="6"/>
      <c r="AB51" s="6"/>
      <c r="AC51" s="6"/>
      <c r="AE51" s="6" t="b">
        <v>0</v>
      </c>
      <c r="AF51" s="6" t="b">
        <v>0</v>
      </c>
      <c r="AH51" s="6">
        <v>200</v>
      </c>
      <c r="AK51" s="6">
        <v>2.2222222999999999</v>
      </c>
      <c r="AL51" s="6"/>
      <c r="AM51" s="6">
        <v>22</v>
      </c>
      <c r="AN51" s="6">
        <v>47</v>
      </c>
      <c r="AO51" s="6">
        <v>58</v>
      </c>
      <c r="AP51" s="6">
        <v>163</v>
      </c>
      <c r="AQ51" s="6">
        <v>137</v>
      </c>
      <c r="AR51" s="6">
        <v>145</v>
      </c>
      <c r="AS51" s="6">
        <v>153</v>
      </c>
      <c r="AT51" s="6">
        <v>162</v>
      </c>
      <c r="AU51" s="6">
        <v>166</v>
      </c>
      <c r="AV51" s="6">
        <v>171</v>
      </c>
      <c r="AW51" s="6">
        <v>175</v>
      </c>
      <c r="AX51" s="6">
        <v>2381</v>
      </c>
      <c r="AY51" s="6">
        <v>0</v>
      </c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/>
      <c r="BF51" s="6"/>
      <c r="BG51" s="6"/>
      <c r="BH51" s="6"/>
      <c r="BI51" s="6"/>
      <c r="BJ51" s="6"/>
      <c r="BK51" s="6"/>
      <c r="BL51" s="6"/>
      <c r="BM51" s="6">
        <v>95</v>
      </c>
      <c r="BN51" s="6" t="b">
        <v>0</v>
      </c>
      <c r="BO51" s="6" t="b">
        <v>0</v>
      </c>
      <c r="BP51" s="6" t="b">
        <v>0</v>
      </c>
      <c r="BQ51" s="6">
        <v>2399</v>
      </c>
      <c r="BR51" s="6">
        <v>300</v>
      </c>
      <c r="BS51" s="6">
        <v>300</v>
      </c>
      <c r="BT51" s="6"/>
      <c r="BU51" s="6"/>
      <c r="BW51" s="6"/>
      <c r="BX51" s="6"/>
      <c r="BY51" s="6"/>
      <c r="BZ51" s="6"/>
      <c r="CA51" s="6" t="s">
        <v>372</v>
      </c>
      <c r="CB51" s="6" t="s">
        <v>354</v>
      </c>
      <c r="CD51" s="6" t="s">
        <v>196</v>
      </c>
      <c r="CE51" s="6">
        <v>22348477916</v>
      </c>
      <c r="CF51" s="6">
        <v>88</v>
      </c>
    </row>
    <row r="52" spans="1:84" x14ac:dyDescent="0.2">
      <c r="A52" s="6" t="s">
        <v>373</v>
      </c>
      <c r="B52" s="24">
        <v>46096.29378472222</v>
      </c>
      <c r="C52" s="6" t="s">
        <v>374</v>
      </c>
      <c r="D52" s="6" t="s">
        <v>193</v>
      </c>
      <c r="E52" s="6">
        <v>17997</v>
      </c>
      <c r="F52" s="6">
        <v>59001.36</v>
      </c>
      <c r="G52" s="6">
        <v>19795</v>
      </c>
      <c r="H52" s="6">
        <v>1506</v>
      </c>
      <c r="I52" s="6">
        <v>13.837</v>
      </c>
      <c r="J52" s="6">
        <v>2.9809999999999999</v>
      </c>
      <c r="K52" s="6" t="b">
        <v>1</v>
      </c>
      <c r="L52" s="6">
        <v>156</v>
      </c>
      <c r="M52" s="6">
        <v>133</v>
      </c>
      <c r="N52" s="6">
        <v>70.620819999999995</v>
      </c>
      <c r="O52" s="6">
        <v>2706</v>
      </c>
      <c r="P52" s="6" t="b">
        <v>1</v>
      </c>
      <c r="Q52" s="6">
        <v>110</v>
      </c>
      <c r="R52" s="6">
        <v>161</v>
      </c>
      <c r="S52" s="6">
        <v>2185699</v>
      </c>
      <c r="T52" s="6">
        <v>70.614040000000003</v>
      </c>
      <c r="U52" s="6">
        <v>249</v>
      </c>
      <c r="X52" s="6">
        <v>3.2783997</v>
      </c>
      <c r="Y52" s="6">
        <v>92.712975</v>
      </c>
      <c r="Z52" s="6">
        <v>19.247724999999999</v>
      </c>
      <c r="AA52" s="6">
        <v>214</v>
      </c>
      <c r="AB52" s="6">
        <v>1.4636363999999999</v>
      </c>
      <c r="AC52" s="6">
        <v>1.2105262999999999</v>
      </c>
      <c r="AE52" s="6" t="b">
        <v>0</v>
      </c>
      <c r="AF52" s="6" t="b">
        <v>0</v>
      </c>
      <c r="AH52" s="6">
        <v>228</v>
      </c>
      <c r="AL52" s="6">
        <v>249</v>
      </c>
      <c r="AM52" s="6">
        <v>289</v>
      </c>
      <c r="AO52" s="6">
        <v>70</v>
      </c>
      <c r="AP52" s="6">
        <v>155</v>
      </c>
      <c r="AQ52" s="6">
        <v>124</v>
      </c>
      <c r="AR52" s="6">
        <v>138</v>
      </c>
      <c r="AS52" s="6">
        <v>144</v>
      </c>
      <c r="AT52" s="6">
        <v>154</v>
      </c>
      <c r="AU52" s="6">
        <v>158</v>
      </c>
      <c r="AV52" s="6">
        <v>163</v>
      </c>
      <c r="AW52" s="6">
        <v>190</v>
      </c>
      <c r="AX52" s="6">
        <v>3862</v>
      </c>
      <c r="AY52" s="6">
        <v>5192</v>
      </c>
      <c r="AZ52" s="6">
        <v>5482</v>
      </c>
      <c r="BA52" s="6">
        <v>3434</v>
      </c>
      <c r="BB52" s="6">
        <v>27</v>
      </c>
      <c r="BC52" s="6">
        <v>0</v>
      </c>
      <c r="BD52" s="6">
        <v>0</v>
      </c>
      <c r="BE52" s="6">
        <v>7404</v>
      </c>
      <c r="BF52" s="6">
        <v>4664</v>
      </c>
      <c r="BG52" s="6">
        <v>3259</v>
      </c>
      <c r="BH52" s="6">
        <v>1758</v>
      </c>
      <c r="BI52" s="6">
        <v>622</v>
      </c>
      <c r="BJ52" s="6">
        <v>254</v>
      </c>
      <c r="BK52" s="6">
        <v>36</v>
      </c>
      <c r="BL52" s="6">
        <v>2310</v>
      </c>
      <c r="BM52" s="6">
        <v>95</v>
      </c>
      <c r="BN52" s="6" t="b">
        <v>0</v>
      </c>
      <c r="BO52" s="6" t="b">
        <v>0</v>
      </c>
      <c r="BP52" s="6" t="b">
        <v>0</v>
      </c>
      <c r="BQ52" s="6">
        <v>19794</v>
      </c>
      <c r="BR52" s="6">
        <v>1200</v>
      </c>
      <c r="BS52" s="6">
        <v>600</v>
      </c>
      <c r="BT52" s="6">
        <v>27</v>
      </c>
      <c r="BU52" s="6">
        <v>155</v>
      </c>
      <c r="BW52" s="6">
        <v>183</v>
      </c>
      <c r="BX52" s="6">
        <v>180</v>
      </c>
      <c r="BY52" s="6">
        <v>14000</v>
      </c>
      <c r="BZ52" s="6">
        <v>629</v>
      </c>
      <c r="CA52" s="6" t="s">
        <v>375</v>
      </c>
      <c r="CB52" s="6" t="s">
        <v>369</v>
      </c>
      <c r="CD52" s="6" t="s">
        <v>196</v>
      </c>
      <c r="CE52" s="6">
        <v>22185463738</v>
      </c>
    </row>
    <row r="53" spans="1:84" x14ac:dyDescent="0.2">
      <c r="A53" s="6" t="s">
        <v>376</v>
      </c>
      <c r="B53" s="24">
        <v>46095.294236111113</v>
      </c>
      <c r="C53" s="6" t="s">
        <v>377</v>
      </c>
      <c r="D53" s="6" t="s">
        <v>193</v>
      </c>
      <c r="E53" s="6">
        <v>16024</v>
      </c>
      <c r="F53" s="6">
        <v>61302.07</v>
      </c>
      <c r="G53" s="6">
        <v>17166</v>
      </c>
      <c r="H53" s="6">
        <v>1439</v>
      </c>
      <c r="I53" s="6">
        <v>16.178999999999998</v>
      </c>
      <c r="J53" s="6">
        <v>3.5710000000000002</v>
      </c>
      <c r="K53" s="6" t="b">
        <v>1</v>
      </c>
      <c r="L53" s="6">
        <v>161</v>
      </c>
      <c r="M53" s="6">
        <v>141</v>
      </c>
      <c r="N53" s="6">
        <v>70.813000000000002</v>
      </c>
      <c r="O53" s="6">
        <v>2642</v>
      </c>
      <c r="P53" s="6" t="b">
        <v>1</v>
      </c>
      <c r="Q53" s="6">
        <v>128</v>
      </c>
      <c r="R53" s="6">
        <v>178</v>
      </c>
      <c r="S53" s="6">
        <v>2190285</v>
      </c>
      <c r="T53" s="6">
        <v>78.070175000000006</v>
      </c>
      <c r="U53" s="6">
        <v>271</v>
      </c>
      <c r="X53" s="6">
        <v>3.8256410000000001</v>
      </c>
      <c r="Y53" s="6">
        <v>68.712760000000003</v>
      </c>
      <c r="Z53" s="6">
        <v>13.711790000000001</v>
      </c>
      <c r="AA53" s="6">
        <v>214</v>
      </c>
      <c r="AB53" s="6">
        <v>1.390625</v>
      </c>
      <c r="AC53" s="6">
        <v>1.2624114</v>
      </c>
      <c r="AE53" s="6" t="b">
        <v>0</v>
      </c>
      <c r="AF53" s="6" t="b">
        <v>0</v>
      </c>
      <c r="AH53" s="6">
        <v>228</v>
      </c>
      <c r="AL53" s="6">
        <v>271</v>
      </c>
      <c r="AM53" s="6">
        <v>331</v>
      </c>
      <c r="AO53" s="6">
        <v>74</v>
      </c>
      <c r="AP53" s="6">
        <v>155</v>
      </c>
      <c r="AQ53" s="6">
        <v>124</v>
      </c>
      <c r="AR53" s="6">
        <v>138</v>
      </c>
      <c r="AS53" s="6">
        <v>144</v>
      </c>
      <c r="AT53" s="6">
        <v>154</v>
      </c>
      <c r="AU53" s="6">
        <v>158</v>
      </c>
      <c r="AV53" s="6">
        <v>163</v>
      </c>
      <c r="AW53" s="6">
        <v>190</v>
      </c>
      <c r="AX53" s="6">
        <v>2399</v>
      </c>
      <c r="AY53" s="6">
        <v>1797</v>
      </c>
      <c r="AZ53" s="6">
        <v>1372</v>
      </c>
      <c r="BA53" s="6">
        <v>7763</v>
      </c>
      <c r="BB53" s="6">
        <v>2341</v>
      </c>
      <c r="BC53" s="6">
        <v>352</v>
      </c>
      <c r="BD53" s="6">
        <v>0</v>
      </c>
      <c r="BE53" s="6">
        <v>5704</v>
      </c>
      <c r="BF53" s="6">
        <v>3100</v>
      </c>
      <c r="BG53" s="6">
        <v>3375</v>
      </c>
      <c r="BH53" s="6">
        <v>2431</v>
      </c>
      <c r="BI53" s="6">
        <v>927</v>
      </c>
      <c r="BJ53" s="6">
        <v>405</v>
      </c>
      <c r="BK53" s="6">
        <v>82</v>
      </c>
      <c r="BL53" s="6">
        <v>2892</v>
      </c>
      <c r="BM53" s="6">
        <v>95</v>
      </c>
      <c r="BN53" s="6" t="b">
        <v>0</v>
      </c>
      <c r="BO53" s="6" t="b">
        <v>0</v>
      </c>
      <c r="BP53" s="6" t="b">
        <v>0</v>
      </c>
      <c r="BQ53" s="6">
        <v>17165</v>
      </c>
      <c r="BR53" s="6">
        <v>1200</v>
      </c>
      <c r="BS53" s="6">
        <v>600</v>
      </c>
      <c r="BT53" s="6">
        <v>29</v>
      </c>
      <c r="BU53" s="6">
        <v>158</v>
      </c>
      <c r="BW53" s="6">
        <v>205</v>
      </c>
      <c r="BX53" s="6">
        <v>200</v>
      </c>
      <c r="BY53" s="6">
        <v>18451</v>
      </c>
      <c r="BZ53" s="6">
        <v>596</v>
      </c>
      <c r="CA53" s="6" t="s">
        <v>378</v>
      </c>
      <c r="CB53" s="6" t="s">
        <v>369</v>
      </c>
      <c r="CD53" s="6" t="s">
        <v>196</v>
      </c>
      <c r="CE53" s="6">
        <v>22173507461</v>
      </c>
    </row>
    <row r="54" spans="1:84" x14ac:dyDescent="0.2">
      <c r="A54" s="6" t="s">
        <v>379</v>
      </c>
      <c r="B54" s="24">
        <v>46094.292939814812</v>
      </c>
      <c r="C54" s="6" t="s">
        <v>380</v>
      </c>
      <c r="D54" s="6" t="s">
        <v>193</v>
      </c>
      <c r="E54" s="6">
        <v>13035</v>
      </c>
      <c r="F54" s="6">
        <v>49069.5</v>
      </c>
      <c r="G54" s="6">
        <v>13445</v>
      </c>
      <c r="H54" s="6">
        <v>1252</v>
      </c>
      <c r="I54" s="6">
        <v>13.847</v>
      </c>
      <c r="J54" s="6">
        <v>3.6930000000000001</v>
      </c>
      <c r="K54" s="6" t="b">
        <v>1</v>
      </c>
      <c r="L54" s="6">
        <v>166</v>
      </c>
      <c r="M54" s="6">
        <v>147</v>
      </c>
      <c r="N54" s="6">
        <v>70.114990000000006</v>
      </c>
      <c r="O54" s="6">
        <v>2165</v>
      </c>
      <c r="P54" s="6" t="b">
        <v>1</v>
      </c>
      <c r="Q54" s="6">
        <v>136</v>
      </c>
      <c r="R54" s="6">
        <v>184</v>
      </c>
      <c r="S54" s="6">
        <v>1820851</v>
      </c>
      <c r="T54" s="6">
        <v>80.701750000000004</v>
      </c>
      <c r="U54" s="6">
        <v>236</v>
      </c>
      <c r="X54" s="6">
        <v>3.7644419999999998</v>
      </c>
      <c r="Y54" s="6">
        <v>37.648524999999999</v>
      </c>
      <c r="Z54" s="6">
        <v>7.5123709999999999</v>
      </c>
      <c r="AA54" s="6">
        <v>214</v>
      </c>
      <c r="AB54" s="6">
        <v>1.3529412000000001</v>
      </c>
      <c r="AC54" s="6">
        <v>1.2517005999999999</v>
      </c>
      <c r="AD54" s="6"/>
      <c r="AE54" s="6" t="b">
        <v>0</v>
      </c>
      <c r="AF54" s="6" t="b">
        <v>0</v>
      </c>
      <c r="AH54" s="6">
        <v>228</v>
      </c>
      <c r="AL54" s="6">
        <v>236</v>
      </c>
      <c r="AM54" s="6">
        <v>305</v>
      </c>
      <c r="AO54" s="6">
        <v>74</v>
      </c>
      <c r="AP54" s="6">
        <v>155</v>
      </c>
      <c r="AQ54" s="6">
        <v>124</v>
      </c>
      <c r="AR54" s="6">
        <v>138</v>
      </c>
      <c r="AS54" s="6">
        <v>144</v>
      </c>
      <c r="AT54" s="6">
        <v>154</v>
      </c>
      <c r="AU54" s="6">
        <v>158</v>
      </c>
      <c r="AV54" s="6">
        <v>163</v>
      </c>
      <c r="AW54" s="6">
        <v>190</v>
      </c>
      <c r="AX54" s="6">
        <v>865</v>
      </c>
      <c r="AY54" s="6">
        <v>1981</v>
      </c>
      <c r="AZ54" s="6">
        <v>1025</v>
      </c>
      <c r="BA54" s="6">
        <v>4180</v>
      </c>
      <c r="BB54" s="6">
        <v>3333</v>
      </c>
      <c r="BC54" s="6">
        <v>1454</v>
      </c>
      <c r="BD54" s="6">
        <v>197</v>
      </c>
      <c r="BE54" s="6">
        <v>4722</v>
      </c>
      <c r="BF54" s="6">
        <v>2272</v>
      </c>
      <c r="BG54" s="6">
        <v>2252</v>
      </c>
      <c r="BH54" s="6">
        <v>2104</v>
      </c>
      <c r="BI54" s="6">
        <v>1137</v>
      </c>
      <c r="BJ54" s="6">
        <v>448</v>
      </c>
      <c r="BK54" s="6">
        <v>100</v>
      </c>
      <c r="BL54" s="6">
        <v>2083</v>
      </c>
      <c r="BM54" s="6">
        <v>95</v>
      </c>
      <c r="BN54" s="6" t="b">
        <v>0</v>
      </c>
      <c r="BO54" s="6" t="b">
        <v>0</v>
      </c>
      <c r="BP54" s="6" t="b">
        <v>0</v>
      </c>
      <c r="BQ54" s="6">
        <v>13364</v>
      </c>
      <c r="BR54" s="6">
        <v>1200</v>
      </c>
      <c r="BS54" s="6">
        <v>600</v>
      </c>
      <c r="BT54" s="6">
        <v>26</v>
      </c>
      <c r="BU54" s="6">
        <v>158</v>
      </c>
      <c r="BW54" s="6">
        <v>200</v>
      </c>
      <c r="BX54" s="6">
        <v>195</v>
      </c>
      <c r="BY54" s="6">
        <v>18807</v>
      </c>
      <c r="BZ54" s="6">
        <v>503</v>
      </c>
      <c r="CA54" s="6" t="s">
        <v>381</v>
      </c>
      <c r="CB54" s="6" t="s">
        <v>382</v>
      </c>
      <c r="CD54" s="6" t="s">
        <v>196</v>
      </c>
      <c r="CE54" s="6">
        <v>22161599600</v>
      </c>
    </row>
    <row r="55" spans="1:84" x14ac:dyDescent="0.2">
      <c r="A55" s="6" t="s">
        <v>383</v>
      </c>
      <c r="B55" s="24">
        <v>46093.287731481483</v>
      </c>
      <c r="C55" s="6" t="s">
        <v>384</v>
      </c>
      <c r="D55" s="6" t="s">
        <v>193</v>
      </c>
      <c r="E55" s="6">
        <v>2536</v>
      </c>
      <c r="F55" s="6">
        <v>9743.34</v>
      </c>
      <c r="G55" s="6">
        <v>2554</v>
      </c>
      <c r="H55" s="6">
        <v>218</v>
      </c>
      <c r="I55" s="6">
        <v>11.178000000000001</v>
      </c>
      <c r="J55" s="6">
        <v>3.843</v>
      </c>
      <c r="K55" s="6" t="b">
        <v>1</v>
      </c>
      <c r="L55" s="6">
        <v>165</v>
      </c>
      <c r="M55" s="6">
        <v>134</v>
      </c>
      <c r="N55" s="6">
        <v>71.121160000000003</v>
      </c>
      <c r="O55" s="6">
        <v>411</v>
      </c>
      <c r="P55" s="6" t="b">
        <v>1</v>
      </c>
      <c r="Q55" s="6">
        <v>135</v>
      </c>
      <c r="R55" s="6">
        <v>199</v>
      </c>
      <c r="S55" s="6">
        <v>345384</v>
      </c>
      <c r="T55" s="6">
        <v>87.280699999999996</v>
      </c>
      <c r="U55" s="6">
        <v>54</v>
      </c>
      <c r="X55" s="6">
        <v>3.8420109999999998</v>
      </c>
      <c r="Y55" s="6">
        <v>7.188682</v>
      </c>
      <c r="Z55" s="6">
        <v>2.0069083999999999</v>
      </c>
      <c r="AA55" s="6">
        <v>214</v>
      </c>
      <c r="AB55" s="6">
        <v>1.4740740999999999</v>
      </c>
      <c r="AC55" s="6">
        <v>1.4850745999999999</v>
      </c>
      <c r="AD55" s="6"/>
      <c r="AE55" s="6" t="b">
        <v>0</v>
      </c>
      <c r="AF55" s="6" t="b">
        <v>0</v>
      </c>
      <c r="AH55" s="6">
        <v>228</v>
      </c>
      <c r="AL55" s="6">
        <v>54</v>
      </c>
      <c r="AM55" s="6">
        <v>43</v>
      </c>
      <c r="AO55" s="6">
        <v>66</v>
      </c>
      <c r="AP55" s="6">
        <v>155</v>
      </c>
      <c r="AQ55" s="6">
        <v>124</v>
      </c>
      <c r="AR55" s="6">
        <v>138</v>
      </c>
      <c r="AS55" s="6">
        <v>144</v>
      </c>
      <c r="AT55" s="6">
        <v>154</v>
      </c>
      <c r="AU55" s="6">
        <v>158</v>
      </c>
      <c r="AV55" s="6">
        <v>163</v>
      </c>
      <c r="AW55" s="6">
        <v>190</v>
      </c>
      <c r="AX55" s="6">
        <v>781</v>
      </c>
      <c r="AY55" s="6">
        <v>843</v>
      </c>
      <c r="AZ55" s="6">
        <v>238</v>
      </c>
      <c r="BA55" s="6">
        <v>223</v>
      </c>
      <c r="BB55" s="6">
        <v>286</v>
      </c>
      <c r="BC55" s="6">
        <v>141</v>
      </c>
      <c r="BD55" s="6">
        <v>24</v>
      </c>
      <c r="BE55" s="6">
        <v>1224</v>
      </c>
      <c r="BF55" s="6">
        <v>350</v>
      </c>
      <c r="BG55" s="6">
        <v>247</v>
      </c>
      <c r="BH55" s="6">
        <v>266</v>
      </c>
      <c r="BI55" s="6">
        <v>151</v>
      </c>
      <c r="BJ55" s="6">
        <v>175</v>
      </c>
      <c r="BK55" s="6">
        <v>123</v>
      </c>
      <c r="BL55" s="6">
        <v>228</v>
      </c>
      <c r="BM55" s="6">
        <v>95</v>
      </c>
      <c r="BN55" s="6" t="b">
        <v>0</v>
      </c>
      <c r="BO55" s="6" t="b">
        <v>0</v>
      </c>
      <c r="BP55" s="6" t="b">
        <v>0</v>
      </c>
      <c r="BQ55" s="6">
        <v>2553</v>
      </c>
      <c r="BR55" s="6">
        <v>0</v>
      </c>
      <c r="BS55" s="6">
        <v>0</v>
      </c>
      <c r="BT55" s="6">
        <v>29</v>
      </c>
      <c r="BU55" s="6">
        <v>162</v>
      </c>
      <c r="BW55" s="6">
        <v>214</v>
      </c>
      <c r="BX55" s="6">
        <v>210</v>
      </c>
      <c r="BY55" s="6">
        <v>17725</v>
      </c>
      <c r="BZ55" s="6">
        <v>644</v>
      </c>
      <c r="CA55" s="6" t="s">
        <v>385</v>
      </c>
      <c r="CB55" s="6" t="s">
        <v>382</v>
      </c>
      <c r="CD55" s="6" t="s">
        <v>196</v>
      </c>
      <c r="CE55" s="6">
        <v>22149168536</v>
      </c>
    </row>
    <row r="56" spans="1:84" x14ac:dyDescent="0.2">
      <c r="A56" s="6" t="s">
        <v>386</v>
      </c>
      <c r="B56" s="24">
        <v>46019.296967592592</v>
      </c>
      <c r="C56" s="6" t="s">
        <v>387</v>
      </c>
      <c r="D56" s="6" t="s">
        <v>208</v>
      </c>
      <c r="E56" s="6">
        <v>5083</v>
      </c>
      <c r="F56" s="6">
        <v>17657.419999999998</v>
      </c>
      <c r="G56" s="6">
        <v>5112</v>
      </c>
      <c r="H56" s="6"/>
      <c r="I56" s="6">
        <v>3.9750000000000001</v>
      </c>
      <c r="J56" s="6">
        <v>3.4529999999999998</v>
      </c>
      <c r="K56" s="6" t="b">
        <v>1</v>
      </c>
      <c r="L56" s="6">
        <v>124</v>
      </c>
      <c r="M56" s="6">
        <v>96</v>
      </c>
      <c r="N56" s="6">
        <v>74.207085000000006</v>
      </c>
      <c r="O56" s="6">
        <v>608</v>
      </c>
      <c r="P56" s="6" t="b">
        <v>1</v>
      </c>
      <c r="Q56" s="6">
        <v>93</v>
      </c>
      <c r="R56" s="6">
        <v>100</v>
      </c>
      <c r="S56" s="6">
        <v>475490</v>
      </c>
      <c r="T56" s="6">
        <v>42.553192000000003</v>
      </c>
      <c r="U56" s="6">
        <v>26</v>
      </c>
      <c r="X56" s="6">
        <v>3.4738185000000001</v>
      </c>
      <c r="Y56" s="6">
        <v>3.4611819000000001</v>
      </c>
      <c r="Z56" s="6">
        <v>4.2883199999999997</v>
      </c>
      <c r="AA56" s="6">
        <v>193</v>
      </c>
      <c r="AB56" s="6">
        <v>1.0752689</v>
      </c>
      <c r="AC56" s="6">
        <v>1.0416666000000001</v>
      </c>
      <c r="AD56" s="6" t="b">
        <v>1</v>
      </c>
      <c r="AE56" s="6" t="b">
        <v>0</v>
      </c>
      <c r="AF56" s="6" t="b">
        <v>0</v>
      </c>
      <c r="AH56" s="6">
        <v>235</v>
      </c>
      <c r="AL56" s="6">
        <v>26</v>
      </c>
      <c r="AM56" s="6">
        <v>22</v>
      </c>
      <c r="AO56" s="6">
        <v>66</v>
      </c>
      <c r="AP56" s="6">
        <v>159</v>
      </c>
      <c r="AQ56" s="6">
        <v>127</v>
      </c>
      <c r="AR56" s="6">
        <v>142</v>
      </c>
      <c r="AS56" s="6">
        <v>148</v>
      </c>
      <c r="AT56" s="6">
        <v>158</v>
      </c>
      <c r="AU56" s="6">
        <v>162</v>
      </c>
      <c r="AV56" s="6">
        <v>167</v>
      </c>
      <c r="AW56" s="6">
        <v>175</v>
      </c>
      <c r="AX56" s="6">
        <v>5083</v>
      </c>
      <c r="AY56" s="6">
        <v>0</v>
      </c>
      <c r="AZ56" s="6">
        <v>0</v>
      </c>
      <c r="BA56" s="6">
        <v>0</v>
      </c>
      <c r="BB56" s="6">
        <v>0</v>
      </c>
      <c r="BC56" s="6">
        <v>0</v>
      </c>
      <c r="BD56" s="6">
        <v>0</v>
      </c>
      <c r="BE56" s="6">
        <v>4999</v>
      </c>
      <c r="BF56" s="6">
        <v>84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90</v>
      </c>
      <c r="BN56" s="6" t="b">
        <v>0</v>
      </c>
      <c r="BO56" s="6" t="b">
        <v>0</v>
      </c>
      <c r="BP56" s="6" t="b">
        <v>0</v>
      </c>
      <c r="BQ56" s="6">
        <v>5111</v>
      </c>
      <c r="BR56" s="6">
        <v>1200</v>
      </c>
      <c r="BS56" s="6">
        <v>600</v>
      </c>
      <c r="BW56" s="6">
        <v>97</v>
      </c>
      <c r="BX56" s="6">
        <v>96</v>
      </c>
      <c r="BY56" s="6">
        <v>7283</v>
      </c>
      <c r="BZ56" s="6">
        <v>150</v>
      </c>
      <c r="CA56" s="6" t="s">
        <v>388</v>
      </c>
      <c r="CB56" s="6" t="s">
        <v>389</v>
      </c>
      <c r="CD56" s="6" t="s">
        <v>196</v>
      </c>
      <c r="CE56" s="25">
        <v>22926299263</v>
      </c>
    </row>
    <row r="57" spans="1:84" x14ac:dyDescent="0.2">
      <c r="A57" s="6" t="s">
        <v>390</v>
      </c>
      <c r="B57" s="24">
        <v>45909.256932870368</v>
      </c>
      <c r="C57" s="6" t="s">
        <v>391</v>
      </c>
      <c r="D57" s="6" t="s">
        <v>208</v>
      </c>
      <c r="E57" s="6">
        <v>2405</v>
      </c>
      <c r="F57" s="6">
        <v>15008.74</v>
      </c>
      <c r="G57" s="6">
        <v>2407</v>
      </c>
      <c r="H57" s="6">
        <v>73</v>
      </c>
      <c r="I57" s="6">
        <v>12.474</v>
      </c>
      <c r="J57" s="6">
        <v>6.2320000000000002</v>
      </c>
      <c r="K57" s="6" t="b">
        <v>1</v>
      </c>
      <c r="L57" s="6">
        <v>118</v>
      </c>
      <c r="M57" s="6">
        <v>96</v>
      </c>
      <c r="N57" s="6">
        <v>73.411100000000005</v>
      </c>
      <c r="O57" s="6">
        <v>204</v>
      </c>
      <c r="P57" s="6" t="b">
        <v>1</v>
      </c>
      <c r="Q57" s="6">
        <v>89</v>
      </c>
      <c r="R57" s="6">
        <v>89</v>
      </c>
      <c r="S57" s="6">
        <v>214095</v>
      </c>
      <c r="T57" s="6">
        <v>34.630352000000002</v>
      </c>
      <c r="U57" s="6">
        <v>8</v>
      </c>
      <c r="X57" s="6">
        <v>6.2406405999999999</v>
      </c>
      <c r="Y57" s="6">
        <v>48.064300000000003</v>
      </c>
      <c r="Z57" s="6">
        <v>50.452460000000002</v>
      </c>
      <c r="AA57" s="6">
        <v>216</v>
      </c>
      <c r="AB57" s="6">
        <v>1</v>
      </c>
      <c r="AC57" s="6">
        <v>0.92708330000000005</v>
      </c>
      <c r="AD57" s="6" t="b">
        <v>1</v>
      </c>
      <c r="AE57" s="6" t="b">
        <v>0</v>
      </c>
      <c r="AF57" s="6" t="b">
        <v>0</v>
      </c>
      <c r="AH57" s="6">
        <v>257</v>
      </c>
      <c r="AL57" s="6">
        <v>8</v>
      </c>
      <c r="AM57" s="6">
        <v>13</v>
      </c>
      <c r="AO57" s="6">
        <v>52</v>
      </c>
      <c r="AP57" s="6">
        <v>155</v>
      </c>
      <c r="AQ57" s="6">
        <v>124</v>
      </c>
      <c r="AR57" s="6">
        <v>138</v>
      </c>
      <c r="AS57" s="6">
        <v>144</v>
      </c>
      <c r="AT57" s="6">
        <v>154</v>
      </c>
      <c r="AU57" s="6">
        <v>158</v>
      </c>
      <c r="AV57" s="6">
        <v>163</v>
      </c>
      <c r="AW57" s="6">
        <v>190</v>
      </c>
      <c r="AX57" s="6">
        <v>2405</v>
      </c>
      <c r="AY57" s="6">
        <v>0</v>
      </c>
      <c r="AZ57" s="6">
        <v>0</v>
      </c>
      <c r="BA57" s="6">
        <v>0</v>
      </c>
      <c r="BB57" s="6">
        <v>0</v>
      </c>
      <c r="BC57" s="6">
        <v>0</v>
      </c>
      <c r="BD57" s="6">
        <v>0</v>
      </c>
      <c r="BE57" s="6">
        <v>2405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v>90</v>
      </c>
      <c r="BN57" s="6" t="b">
        <v>0</v>
      </c>
      <c r="BO57" s="6" t="b">
        <v>0</v>
      </c>
      <c r="BP57" s="6" t="b">
        <v>0</v>
      </c>
      <c r="BQ57" s="6">
        <v>2406</v>
      </c>
      <c r="BR57" s="6">
        <v>0</v>
      </c>
      <c r="BS57" s="6">
        <v>0</v>
      </c>
      <c r="BT57" s="6"/>
      <c r="BU57" s="6"/>
      <c r="BW57" s="6">
        <v>87</v>
      </c>
      <c r="BX57" s="6">
        <v>86</v>
      </c>
      <c r="BY57" s="6">
        <v>6574</v>
      </c>
      <c r="BZ57" s="6">
        <v>131</v>
      </c>
      <c r="CA57" s="6" t="s">
        <v>392</v>
      </c>
      <c r="CB57" s="6" t="s">
        <v>382</v>
      </c>
      <c r="CD57" s="6" t="s">
        <v>196</v>
      </c>
      <c r="CE57" s="25">
        <v>1.95883E+18</v>
      </c>
    </row>
    <row r="58" spans="1:84" x14ac:dyDescent="0.2">
      <c r="A58" s="6" t="s">
        <v>393</v>
      </c>
      <c r="B58" s="24">
        <v>45907.652881944443</v>
      </c>
      <c r="C58" s="6" t="s">
        <v>394</v>
      </c>
      <c r="D58" s="6" t="s">
        <v>208</v>
      </c>
      <c r="E58" s="6">
        <v>3370</v>
      </c>
      <c r="F58" s="6">
        <v>16503.2</v>
      </c>
      <c r="G58" s="6">
        <v>3373</v>
      </c>
      <c r="H58" s="6">
        <v>145</v>
      </c>
      <c r="I58" s="6">
        <v>17.902000000000001</v>
      </c>
      <c r="J58" s="6">
        <v>4.891</v>
      </c>
      <c r="K58" s="6" t="b">
        <v>1</v>
      </c>
      <c r="L58" s="6">
        <v>126</v>
      </c>
      <c r="M58" s="6">
        <v>106</v>
      </c>
      <c r="N58" s="6">
        <v>73.723280000000003</v>
      </c>
      <c r="O58" s="6">
        <v>269</v>
      </c>
      <c r="P58" s="6" t="b">
        <v>1</v>
      </c>
      <c r="Q58" s="6">
        <v>84</v>
      </c>
      <c r="R58" s="6">
        <v>84</v>
      </c>
      <c r="S58" s="6">
        <v>281924</v>
      </c>
      <c r="T58" s="6">
        <v>32.684826000000001</v>
      </c>
      <c r="U58" s="6">
        <v>10</v>
      </c>
      <c r="X58" s="6">
        <v>4.8970919999999998</v>
      </c>
      <c r="Y58" s="6">
        <v>62.542572</v>
      </c>
      <c r="Z58" s="6">
        <v>52.715674999999997</v>
      </c>
      <c r="AA58" s="6">
        <v>216</v>
      </c>
      <c r="AB58" s="6">
        <v>1</v>
      </c>
      <c r="AC58" s="6">
        <v>0.79245279999999996</v>
      </c>
      <c r="AD58" s="6" t="b">
        <v>1</v>
      </c>
      <c r="AE58" s="6" t="b">
        <v>0</v>
      </c>
      <c r="AF58" s="6" t="b">
        <v>0</v>
      </c>
      <c r="AH58" s="6">
        <v>257</v>
      </c>
      <c r="AL58" s="6">
        <v>10</v>
      </c>
      <c r="AM58" s="6">
        <v>25</v>
      </c>
      <c r="AO58" s="6">
        <v>52</v>
      </c>
      <c r="AP58" s="6">
        <v>155</v>
      </c>
      <c r="AQ58" s="6">
        <v>124</v>
      </c>
      <c r="AR58" s="6">
        <v>138</v>
      </c>
      <c r="AS58" s="6">
        <v>144</v>
      </c>
      <c r="AT58" s="6">
        <v>154</v>
      </c>
      <c r="AU58" s="6">
        <v>158</v>
      </c>
      <c r="AV58" s="6">
        <v>163</v>
      </c>
      <c r="AW58" s="6">
        <v>190</v>
      </c>
      <c r="AX58" s="6">
        <v>3330</v>
      </c>
      <c r="AY58" s="6">
        <v>40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 s="6">
        <v>3370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90</v>
      </c>
      <c r="BN58" s="6" t="b">
        <v>0</v>
      </c>
      <c r="BO58" s="6" t="b">
        <v>0</v>
      </c>
      <c r="BP58" s="6" t="b">
        <v>0</v>
      </c>
      <c r="BQ58" s="6">
        <v>3372</v>
      </c>
      <c r="BR58" s="6">
        <v>0</v>
      </c>
      <c r="BS58" s="6">
        <v>0</v>
      </c>
      <c r="BT58" s="6"/>
      <c r="BU58" s="6"/>
      <c r="BW58" s="6">
        <v>83</v>
      </c>
      <c r="BX58" s="6">
        <v>82</v>
      </c>
      <c r="BY58" s="6">
        <v>6245</v>
      </c>
      <c r="BZ58" s="6">
        <v>152</v>
      </c>
      <c r="CA58" s="6" t="s">
        <v>395</v>
      </c>
      <c r="CB58" s="6" t="s">
        <v>382</v>
      </c>
      <c r="CD58" s="6" t="s">
        <v>196</v>
      </c>
      <c r="CE58" s="25">
        <v>1.95767E+18</v>
      </c>
    </row>
    <row r="59" spans="1:84" x14ac:dyDescent="0.2">
      <c r="A59" s="6" t="s">
        <v>396</v>
      </c>
      <c r="B59" s="24">
        <v>45907.383773148147</v>
      </c>
      <c r="C59" s="6" t="s">
        <v>397</v>
      </c>
      <c r="D59" s="6" t="s">
        <v>220</v>
      </c>
      <c r="E59" s="6">
        <v>1727</v>
      </c>
      <c r="F59" s="6">
        <v>5651.19</v>
      </c>
      <c r="G59" s="6">
        <v>1728</v>
      </c>
      <c r="H59" s="6">
        <v>119</v>
      </c>
      <c r="I59" s="6">
        <v>6.9420000000000002</v>
      </c>
      <c r="J59" s="6">
        <v>3.27</v>
      </c>
      <c r="K59" s="6" t="b">
        <v>1</v>
      </c>
      <c r="L59" s="6">
        <v>162</v>
      </c>
      <c r="M59" s="6">
        <v>136</v>
      </c>
      <c r="N59" s="6"/>
      <c r="O59" s="6">
        <v>360</v>
      </c>
      <c r="P59" s="6"/>
      <c r="Q59" s="6"/>
      <c r="R59" s="6"/>
      <c r="S59" s="6"/>
      <c r="T59" s="6">
        <v>81.673293999999999</v>
      </c>
      <c r="U59" s="6">
        <v>32</v>
      </c>
      <c r="X59" s="6">
        <v>3.2722582999999998</v>
      </c>
      <c r="Y59" s="6">
        <v>62.542572</v>
      </c>
      <c r="Z59" s="6">
        <v>52.715674999999997</v>
      </c>
      <c r="AA59" s="6">
        <v>216</v>
      </c>
      <c r="AB59" s="6"/>
      <c r="AC59" s="6"/>
      <c r="AD59" s="6"/>
      <c r="AE59" s="6" t="b">
        <v>0</v>
      </c>
      <c r="AF59" s="6" t="b">
        <v>0</v>
      </c>
      <c r="AH59" s="6">
        <v>257</v>
      </c>
      <c r="AL59" s="6"/>
      <c r="AM59" s="6">
        <v>32</v>
      </c>
      <c r="AO59" s="6">
        <v>52</v>
      </c>
      <c r="AP59" s="6">
        <v>155</v>
      </c>
      <c r="AQ59" s="6">
        <v>124</v>
      </c>
      <c r="AR59" s="6">
        <v>138</v>
      </c>
      <c r="AS59" s="6">
        <v>144</v>
      </c>
      <c r="AT59" s="6">
        <v>154</v>
      </c>
      <c r="AU59" s="6">
        <v>158</v>
      </c>
      <c r="AV59" s="6">
        <v>163</v>
      </c>
      <c r="AW59" s="6">
        <v>190</v>
      </c>
      <c r="AX59" s="6">
        <v>306</v>
      </c>
      <c r="AY59" s="6">
        <v>718</v>
      </c>
      <c r="AZ59" s="6">
        <v>190</v>
      </c>
      <c r="BA59" s="6">
        <v>382</v>
      </c>
      <c r="BB59" s="6">
        <v>66</v>
      </c>
      <c r="BC59" s="6">
        <v>67</v>
      </c>
      <c r="BD59" s="6">
        <v>0</v>
      </c>
      <c r="BE59" s="6"/>
      <c r="BF59" s="6"/>
      <c r="BG59" s="6"/>
      <c r="BH59" s="6"/>
      <c r="BI59" s="6"/>
      <c r="BJ59" s="6"/>
      <c r="BK59" s="6"/>
      <c r="BL59" s="6"/>
      <c r="BM59" s="6">
        <v>90</v>
      </c>
      <c r="BN59" s="6" t="b">
        <v>0</v>
      </c>
      <c r="BO59" s="6" t="b">
        <v>0</v>
      </c>
      <c r="BP59" s="6" t="b">
        <v>0</v>
      </c>
      <c r="BQ59" s="6">
        <v>1727</v>
      </c>
      <c r="BR59" s="6">
        <v>0</v>
      </c>
      <c r="BS59" s="6">
        <v>0</v>
      </c>
      <c r="BT59" s="6">
        <v>39</v>
      </c>
      <c r="BU59" s="6">
        <v>160</v>
      </c>
      <c r="BW59" s="6"/>
      <c r="BX59" s="6"/>
      <c r="BY59" s="6"/>
      <c r="BZ59" s="6"/>
      <c r="CA59" s="6" t="s">
        <v>398</v>
      </c>
      <c r="CB59" s="6" t="s">
        <v>399</v>
      </c>
      <c r="CD59" s="6" t="s">
        <v>196</v>
      </c>
      <c r="CE59" s="6">
        <v>20311755366</v>
      </c>
    </row>
    <row r="60" spans="1:84" x14ac:dyDescent="0.2">
      <c r="A60" s="6" t="s">
        <v>400</v>
      </c>
      <c r="B60" s="24">
        <v>45907.271689814814</v>
      </c>
      <c r="C60" s="6" t="s">
        <v>401</v>
      </c>
      <c r="D60" s="6" t="s">
        <v>220</v>
      </c>
      <c r="E60" s="6">
        <v>9176</v>
      </c>
      <c r="F60" s="6">
        <v>71016.97</v>
      </c>
      <c r="G60" s="6">
        <v>9178</v>
      </c>
      <c r="H60" s="6">
        <v>772</v>
      </c>
      <c r="I60" s="6">
        <v>20.835000000000001</v>
      </c>
      <c r="J60" s="6">
        <v>7.7380000000000004</v>
      </c>
      <c r="K60" s="6" t="b">
        <v>1</v>
      </c>
      <c r="L60" s="6">
        <v>171</v>
      </c>
      <c r="M60" s="6">
        <v>151</v>
      </c>
      <c r="N60" s="6"/>
      <c r="O60" s="6">
        <v>2177</v>
      </c>
      <c r="P60" s="6"/>
      <c r="Q60" s="6"/>
      <c r="R60" s="6"/>
      <c r="S60" s="6"/>
      <c r="T60" s="6">
        <v>100.0218</v>
      </c>
      <c r="U60" s="6">
        <v>255</v>
      </c>
      <c r="X60" s="6">
        <v>7.7394257</v>
      </c>
      <c r="Y60" s="6">
        <v>62.542572</v>
      </c>
      <c r="Z60" s="6">
        <v>52.715674999999997</v>
      </c>
      <c r="AA60" s="6">
        <v>216</v>
      </c>
      <c r="AB60" s="6"/>
      <c r="AC60" s="6"/>
      <c r="AD60" s="6"/>
      <c r="AE60" s="6" t="b">
        <v>0</v>
      </c>
      <c r="AF60" s="6" t="b">
        <v>0</v>
      </c>
      <c r="AH60" s="6">
        <v>257</v>
      </c>
      <c r="AL60" s="6"/>
      <c r="AM60" s="6">
        <v>255</v>
      </c>
      <c r="AO60" s="6">
        <v>52</v>
      </c>
      <c r="AP60" s="6">
        <v>155</v>
      </c>
      <c r="AQ60" s="6">
        <v>124</v>
      </c>
      <c r="AR60" s="6">
        <v>138</v>
      </c>
      <c r="AS60" s="6">
        <v>144</v>
      </c>
      <c r="AT60" s="6">
        <v>154</v>
      </c>
      <c r="AU60" s="6">
        <v>158</v>
      </c>
      <c r="AV60" s="6">
        <v>163</v>
      </c>
      <c r="AW60" s="6">
        <v>190</v>
      </c>
      <c r="AX60" s="6">
        <v>441</v>
      </c>
      <c r="AY60" s="6">
        <v>416</v>
      </c>
      <c r="AZ60" s="6">
        <v>322</v>
      </c>
      <c r="BA60" s="6">
        <v>2015</v>
      </c>
      <c r="BB60" s="6">
        <v>1847</v>
      </c>
      <c r="BC60" s="6">
        <v>3186</v>
      </c>
      <c r="BD60" s="6">
        <v>952</v>
      </c>
      <c r="BE60" s="6"/>
      <c r="BF60" s="6"/>
      <c r="BG60" s="6"/>
      <c r="BH60" s="6"/>
      <c r="BI60" s="6"/>
      <c r="BJ60" s="6"/>
      <c r="BK60" s="6"/>
      <c r="BL60" s="6"/>
      <c r="BM60" s="6">
        <v>90</v>
      </c>
      <c r="BN60" s="6" t="b">
        <v>0</v>
      </c>
      <c r="BO60" s="6" t="b">
        <v>0</v>
      </c>
      <c r="BP60" s="6" t="b">
        <v>0</v>
      </c>
      <c r="BQ60" s="6">
        <v>9176</v>
      </c>
      <c r="BR60" s="6">
        <v>1200</v>
      </c>
      <c r="BS60" s="6">
        <v>600</v>
      </c>
      <c r="BT60" s="6">
        <v>32</v>
      </c>
      <c r="BU60" s="6">
        <v>157</v>
      </c>
      <c r="BW60" s="6"/>
      <c r="BX60" s="6"/>
      <c r="BY60" s="6"/>
      <c r="BZ60" s="6"/>
      <c r="CA60" s="6" t="s">
        <v>402</v>
      </c>
      <c r="CB60" s="6" t="s">
        <v>399</v>
      </c>
      <c r="CD60" s="6" t="s">
        <v>196</v>
      </c>
      <c r="CE60" s="25">
        <v>20311294165</v>
      </c>
    </row>
    <row r="61" spans="1:84" x14ac:dyDescent="0.2">
      <c r="A61" s="6" t="s">
        <v>403</v>
      </c>
      <c r="B61" s="24">
        <v>45904.324687499997</v>
      </c>
      <c r="C61" s="6" t="s">
        <v>404</v>
      </c>
      <c r="D61" s="6" t="s">
        <v>208</v>
      </c>
      <c r="E61" s="6">
        <v>2107</v>
      </c>
      <c r="F61" s="6">
        <v>15583.75</v>
      </c>
      <c r="G61" s="6">
        <v>2109</v>
      </c>
      <c r="H61" s="6">
        <v>132</v>
      </c>
      <c r="I61" s="6">
        <v>17.876000000000001</v>
      </c>
      <c r="J61" s="6">
        <v>7.3849999999999998</v>
      </c>
      <c r="K61" s="6" t="b">
        <v>1</v>
      </c>
      <c r="L61" s="6">
        <v>132</v>
      </c>
      <c r="M61" s="6">
        <v>109</v>
      </c>
      <c r="N61" s="6">
        <v>72.941986</v>
      </c>
      <c r="O61" s="6">
        <v>292</v>
      </c>
      <c r="P61" s="6" t="b">
        <v>1</v>
      </c>
      <c r="Q61" s="6">
        <v>145</v>
      </c>
      <c r="R61" s="6">
        <v>147</v>
      </c>
      <c r="S61" s="6">
        <v>305638</v>
      </c>
      <c r="T61" s="6">
        <v>57.198444000000002</v>
      </c>
      <c r="U61" s="6">
        <v>19</v>
      </c>
      <c r="X61" s="6">
        <v>7.3961790000000001</v>
      </c>
      <c r="Y61" s="6">
        <v>35.314594</v>
      </c>
      <c r="Z61" s="6">
        <v>49.113514000000002</v>
      </c>
      <c r="AA61" s="6">
        <v>217</v>
      </c>
      <c r="AB61" s="6">
        <v>1.0137931</v>
      </c>
      <c r="AC61" s="6">
        <v>1.3486239</v>
      </c>
      <c r="AD61" s="6" t="b">
        <v>1</v>
      </c>
      <c r="AE61" s="6" t="b">
        <v>0</v>
      </c>
      <c r="AF61" s="6" t="b">
        <v>0</v>
      </c>
      <c r="AH61" s="6">
        <v>257</v>
      </c>
      <c r="AL61" s="6">
        <v>19</v>
      </c>
      <c r="AM61" s="6">
        <v>18</v>
      </c>
      <c r="AO61" s="6">
        <v>52</v>
      </c>
      <c r="AP61" s="6">
        <v>155</v>
      </c>
      <c r="AQ61" s="6">
        <v>124</v>
      </c>
      <c r="AR61" s="6">
        <v>138</v>
      </c>
      <c r="AS61" s="6">
        <v>144</v>
      </c>
      <c r="AT61" s="6">
        <v>154</v>
      </c>
      <c r="AU61" s="6">
        <v>158</v>
      </c>
      <c r="AV61" s="6">
        <v>163</v>
      </c>
      <c r="AW61" s="6">
        <v>190</v>
      </c>
      <c r="AX61" s="6">
        <v>1985</v>
      </c>
      <c r="AY61" s="6">
        <v>122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 s="6">
        <v>749</v>
      </c>
      <c r="BF61" s="6">
        <v>1357</v>
      </c>
      <c r="BG61" s="6">
        <v>1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90</v>
      </c>
      <c r="BN61" s="6" t="b">
        <v>0</v>
      </c>
      <c r="BO61" s="6" t="b">
        <v>0</v>
      </c>
      <c r="BP61" s="6" t="b">
        <v>0</v>
      </c>
      <c r="BQ61" s="6">
        <v>2108</v>
      </c>
      <c r="BR61" s="6">
        <v>0</v>
      </c>
      <c r="BS61" s="6">
        <v>0</v>
      </c>
      <c r="BT61" s="6"/>
      <c r="BU61" s="6"/>
      <c r="BW61" s="6">
        <v>149</v>
      </c>
      <c r="BX61" s="6">
        <v>146</v>
      </c>
      <c r="BY61" s="6">
        <v>11088</v>
      </c>
      <c r="BZ61" s="6">
        <v>197</v>
      </c>
      <c r="CA61" s="6" t="s">
        <v>405</v>
      </c>
      <c r="CB61" s="6" t="s">
        <v>399</v>
      </c>
      <c r="CD61" s="6" t="s">
        <v>196</v>
      </c>
      <c r="CE61" s="25">
        <v>1.95526E+18</v>
      </c>
    </row>
    <row r="62" spans="1:84" x14ac:dyDescent="0.2">
      <c r="A62" s="6" t="s">
        <v>406</v>
      </c>
      <c r="B62" s="24">
        <v>45902.392187500001</v>
      </c>
      <c r="C62" s="6" t="s">
        <v>407</v>
      </c>
      <c r="D62" s="6" t="s">
        <v>208</v>
      </c>
      <c r="E62" s="6">
        <v>2100</v>
      </c>
      <c r="F62" s="6">
        <v>8602.8700000000008</v>
      </c>
      <c r="G62" s="6">
        <v>2112</v>
      </c>
      <c r="H62" s="6">
        <v>66</v>
      </c>
      <c r="I62" s="6">
        <v>14.526</v>
      </c>
      <c r="J62" s="6">
        <v>4.077</v>
      </c>
      <c r="K62" s="6" t="b">
        <v>1</v>
      </c>
      <c r="L62" s="6">
        <v>113</v>
      </c>
      <c r="M62" s="6">
        <v>86</v>
      </c>
      <c r="N62" s="6">
        <v>68.458470000000005</v>
      </c>
      <c r="O62" s="6">
        <v>152</v>
      </c>
      <c r="P62" s="6" t="b">
        <v>1</v>
      </c>
      <c r="Q62" s="6">
        <v>76</v>
      </c>
      <c r="R62" s="6">
        <v>82</v>
      </c>
      <c r="S62" s="6">
        <v>160558</v>
      </c>
      <c r="T62" s="6">
        <v>31.906614000000001</v>
      </c>
      <c r="U62" s="6">
        <v>6</v>
      </c>
      <c r="X62" s="6">
        <v>4.0966050000000003</v>
      </c>
      <c r="Y62" s="6">
        <v>43.627766000000001</v>
      </c>
      <c r="Z62" s="6">
        <v>51.039993000000003</v>
      </c>
      <c r="AA62" s="6">
        <v>217</v>
      </c>
      <c r="AB62" s="6">
        <v>1.0789473999999999</v>
      </c>
      <c r="AC62" s="6">
        <v>0.95348834999999998</v>
      </c>
      <c r="AD62" s="6" t="b">
        <v>1</v>
      </c>
      <c r="AE62" s="6" t="b">
        <v>0</v>
      </c>
      <c r="AF62" s="6" t="b">
        <v>0</v>
      </c>
      <c r="AH62" s="6">
        <v>257</v>
      </c>
      <c r="AL62" s="6">
        <v>6</v>
      </c>
      <c r="AM62" s="6">
        <v>7</v>
      </c>
      <c r="AO62" s="6">
        <v>52</v>
      </c>
      <c r="AP62" s="6">
        <v>155</v>
      </c>
      <c r="AQ62" s="6">
        <v>124</v>
      </c>
      <c r="AR62" s="6">
        <v>138</v>
      </c>
      <c r="AS62" s="6">
        <v>144</v>
      </c>
      <c r="AT62" s="6">
        <v>154</v>
      </c>
      <c r="AU62" s="6">
        <v>158</v>
      </c>
      <c r="AV62" s="6">
        <v>163</v>
      </c>
      <c r="AW62" s="6">
        <v>190</v>
      </c>
      <c r="AX62" s="6">
        <v>2100</v>
      </c>
      <c r="AY62" s="6">
        <v>0</v>
      </c>
      <c r="AZ62" s="6">
        <v>0</v>
      </c>
      <c r="BA62" s="6">
        <v>0</v>
      </c>
      <c r="BB62" s="6">
        <v>0</v>
      </c>
      <c r="BC62" s="6">
        <v>0</v>
      </c>
      <c r="BD62" s="6">
        <v>0</v>
      </c>
      <c r="BE62" s="6">
        <v>2100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90</v>
      </c>
      <c r="BN62" s="6" t="b">
        <v>0</v>
      </c>
      <c r="BO62" s="6" t="b">
        <v>0</v>
      </c>
      <c r="BP62" s="6" t="b">
        <v>0</v>
      </c>
      <c r="BQ62" s="6">
        <v>2111</v>
      </c>
      <c r="BR62" s="6">
        <v>0</v>
      </c>
      <c r="BS62" s="6">
        <v>0</v>
      </c>
      <c r="BT62" s="6"/>
      <c r="BU62" s="6"/>
      <c r="BW62" s="6">
        <v>83</v>
      </c>
      <c r="BX62" s="6">
        <v>82</v>
      </c>
      <c r="BY62" s="6">
        <v>6278</v>
      </c>
      <c r="BZ62" s="6">
        <v>162</v>
      </c>
      <c r="CA62" s="6" t="s">
        <v>408</v>
      </c>
      <c r="CB62" s="6" t="s">
        <v>409</v>
      </c>
      <c r="CD62" s="6" t="s">
        <v>196</v>
      </c>
      <c r="CE62" s="25">
        <v>1.95386E+18</v>
      </c>
    </row>
    <row r="63" spans="1:84" x14ac:dyDescent="0.2">
      <c r="A63" s="6" t="s">
        <v>410</v>
      </c>
      <c r="B63" s="24">
        <v>45900.295208333337</v>
      </c>
      <c r="C63" s="6" t="s">
        <v>411</v>
      </c>
      <c r="D63" s="6" t="s">
        <v>220</v>
      </c>
      <c r="E63" s="6">
        <v>9138</v>
      </c>
      <c r="F63" s="6">
        <v>75850.899999999994</v>
      </c>
      <c r="G63" s="6">
        <v>9149</v>
      </c>
      <c r="H63" s="6">
        <v>550</v>
      </c>
      <c r="I63" s="6">
        <v>19.920999999999999</v>
      </c>
      <c r="J63" s="6">
        <v>8.2970000000000006</v>
      </c>
      <c r="K63" s="6" t="b">
        <v>1</v>
      </c>
      <c r="L63" s="6">
        <v>167</v>
      </c>
      <c r="M63" s="6">
        <v>151</v>
      </c>
      <c r="N63" s="6"/>
      <c r="O63" s="6">
        <v>2164</v>
      </c>
      <c r="P63" s="6"/>
      <c r="Q63" s="6"/>
      <c r="R63" s="6"/>
      <c r="S63" s="6"/>
      <c r="T63" s="6">
        <v>99.204049999999995</v>
      </c>
      <c r="U63" s="6">
        <v>250</v>
      </c>
      <c r="X63" s="6">
        <v>8.3006019999999996</v>
      </c>
      <c r="Y63" s="6">
        <v>56.993119999999998</v>
      </c>
      <c r="Z63" s="6">
        <v>53.381214</v>
      </c>
      <c r="AA63" s="6">
        <v>217</v>
      </c>
      <c r="AB63" s="6"/>
      <c r="AC63" s="6"/>
      <c r="AD63" s="6"/>
      <c r="AE63" s="6" t="b">
        <v>0</v>
      </c>
      <c r="AF63" s="6" t="b">
        <v>0</v>
      </c>
      <c r="AH63" s="6">
        <v>257</v>
      </c>
      <c r="AL63" s="6"/>
      <c r="AM63" s="6">
        <v>250</v>
      </c>
      <c r="AO63" s="6">
        <v>52</v>
      </c>
      <c r="AP63" s="6">
        <v>155</v>
      </c>
      <c r="AQ63" s="6">
        <v>124</v>
      </c>
      <c r="AR63" s="6">
        <v>138</v>
      </c>
      <c r="AS63" s="6">
        <v>144</v>
      </c>
      <c r="AT63" s="6">
        <v>154</v>
      </c>
      <c r="AU63" s="6">
        <v>158</v>
      </c>
      <c r="AV63" s="6">
        <v>163</v>
      </c>
      <c r="AW63" s="6">
        <v>190</v>
      </c>
      <c r="AX63" s="6">
        <v>674</v>
      </c>
      <c r="AY63" s="6">
        <v>458</v>
      </c>
      <c r="AZ63" s="6">
        <v>337</v>
      </c>
      <c r="BA63" s="6">
        <v>1549</v>
      </c>
      <c r="BB63" s="6">
        <v>2126</v>
      </c>
      <c r="BC63" s="6">
        <v>3374</v>
      </c>
      <c r="BD63" s="6">
        <v>625</v>
      </c>
      <c r="BE63" s="6"/>
      <c r="BF63" s="6"/>
      <c r="BG63" s="6"/>
      <c r="BH63" s="6"/>
      <c r="BI63" s="6"/>
      <c r="BJ63" s="6"/>
      <c r="BK63" s="6"/>
      <c r="BL63" s="6"/>
      <c r="BM63" s="6">
        <v>90</v>
      </c>
      <c r="BN63" s="6" t="b">
        <v>0</v>
      </c>
      <c r="BO63" s="6" t="b">
        <v>0</v>
      </c>
      <c r="BP63" s="6" t="b">
        <v>0</v>
      </c>
      <c r="BQ63" s="6">
        <v>9145</v>
      </c>
      <c r="BR63" s="6">
        <v>1200</v>
      </c>
      <c r="BS63" s="6">
        <v>600</v>
      </c>
      <c r="BT63" s="6">
        <v>28</v>
      </c>
      <c r="BU63" s="6">
        <v>162</v>
      </c>
      <c r="BW63" s="6"/>
      <c r="BX63" s="6"/>
      <c r="BY63" s="6"/>
      <c r="BZ63" s="6"/>
      <c r="CA63" s="6" t="s">
        <v>412</v>
      </c>
      <c r="CB63" s="6" t="s">
        <v>409</v>
      </c>
      <c r="CD63" s="6" t="s">
        <v>196</v>
      </c>
      <c r="CE63" s="25">
        <v>20237961359</v>
      </c>
    </row>
    <row r="64" spans="1:84" x14ac:dyDescent="0.2">
      <c r="A64" s="6" t="s">
        <v>413</v>
      </c>
      <c r="B64" s="24">
        <v>45899.330810185187</v>
      </c>
      <c r="C64" s="6" t="s">
        <v>414</v>
      </c>
      <c r="D64" s="6" t="s">
        <v>208</v>
      </c>
      <c r="E64" s="6">
        <v>2107</v>
      </c>
      <c r="F64" s="6">
        <v>16339.64</v>
      </c>
      <c r="G64" s="6">
        <v>2110</v>
      </c>
      <c r="H64" s="6">
        <v>82</v>
      </c>
      <c r="I64" s="6">
        <v>13.926</v>
      </c>
      <c r="J64" s="6">
        <v>7.74</v>
      </c>
      <c r="K64" s="6" t="b">
        <v>1</v>
      </c>
      <c r="L64" s="6">
        <v>151</v>
      </c>
      <c r="M64" s="6">
        <v>125</v>
      </c>
      <c r="N64" s="6">
        <v>74.964250000000007</v>
      </c>
      <c r="O64" s="6">
        <v>280</v>
      </c>
      <c r="P64" s="6" t="b">
        <v>1</v>
      </c>
      <c r="Q64" s="6">
        <v>139</v>
      </c>
      <c r="R64" s="6">
        <v>152</v>
      </c>
      <c r="S64" s="6">
        <v>293193</v>
      </c>
      <c r="T64" s="6">
        <v>59.143970000000003</v>
      </c>
      <c r="U64" s="6">
        <v>20</v>
      </c>
      <c r="X64" s="6">
        <v>7.754931</v>
      </c>
      <c r="Y64" s="6">
        <v>27.354016999999999</v>
      </c>
      <c r="Z64" s="6">
        <v>48.643639999999998</v>
      </c>
      <c r="AA64" s="6">
        <v>218</v>
      </c>
      <c r="AB64" s="6">
        <v>1.0935252</v>
      </c>
      <c r="AC64" s="6">
        <v>1.216</v>
      </c>
      <c r="AD64" s="6" t="b">
        <v>1</v>
      </c>
      <c r="AE64" s="6" t="b">
        <v>0</v>
      </c>
      <c r="AF64" s="6" t="b">
        <v>0</v>
      </c>
      <c r="AH64" s="6">
        <v>257</v>
      </c>
      <c r="AL64" s="6">
        <v>20</v>
      </c>
      <c r="AM64" s="6">
        <v>29</v>
      </c>
      <c r="AO64" s="6">
        <v>52</v>
      </c>
      <c r="AP64" s="6">
        <v>155</v>
      </c>
      <c r="AQ64" s="6">
        <v>124</v>
      </c>
      <c r="AR64" s="6">
        <v>138</v>
      </c>
      <c r="AS64" s="6">
        <v>144</v>
      </c>
      <c r="AT64" s="6">
        <v>154</v>
      </c>
      <c r="AU64" s="6">
        <v>158</v>
      </c>
      <c r="AV64" s="6">
        <v>163</v>
      </c>
      <c r="AW64" s="6">
        <v>190</v>
      </c>
      <c r="AX64" s="6">
        <v>969</v>
      </c>
      <c r="AY64" s="6">
        <v>825</v>
      </c>
      <c r="AZ64" s="6">
        <v>85</v>
      </c>
      <c r="BA64" s="6">
        <v>228</v>
      </c>
      <c r="BB64" s="6">
        <v>0</v>
      </c>
      <c r="BC64" s="6">
        <v>0</v>
      </c>
      <c r="BD64" s="6">
        <v>0</v>
      </c>
      <c r="BE64" s="6">
        <v>1527</v>
      </c>
      <c r="BF64" s="6">
        <v>201</v>
      </c>
      <c r="BG64" s="6">
        <v>379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90</v>
      </c>
      <c r="BN64" s="6" t="b">
        <v>0</v>
      </c>
      <c r="BO64" s="6" t="b">
        <v>0</v>
      </c>
      <c r="BP64" s="6" t="b">
        <v>0</v>
      </c>
      <c r="BQ64" s="6">
        <v>2109</v>
      </c>
      <c r="BR64" s="6">
        <v>0</v>
      </c>
      <c r="BS64" s="6">
        <v>0</v>
      </c>
      <c r="BW64" s="6">
        <v>160</v>
      </c>
      <c r="BX64" s="6">
        <v>157</v>
      </c>
      <c r="BY64" s="6">
        <v>13661</v>
      </c>
      <c r="BZ64" s="6">
        <v>227</v>
      </c>
      <c r="CA64" s="6" t="s">
        <v>415</v>
      </c>
      <c r="CB64" s="6" t="s">
        <v>409</v>
      </c>
      <c r="CD64" s="6" t="s">
        <v>196</v>
      </c>
      <c r="CE64" s="25">
        <v>1.95164E+18</v>
      </c>
    </row>
    <row r="65" spans="1:83" x14ac:dyDescent="0.2">
      <c r="A65" s="6" t="s">
        <v>416</v>
      </c>
      <c r="B65" s="24">
        <v>45897.375208333331</v>
      </c>
      <c r="C65" s="6" t="s">
        <v>417</v>
      </c>
      <c r="D65" s="6" t="s">
        <v>208</v>
      </c>
      <c r="E65" s="6">
        <v>3649</v>
      </c>
      <c r="F65" s="6">
        <v>26529.84</v>
      </c>
      <c r="G65" s="6">
        <v>3651</v>
      </c>
      <c r="H65" s="6">
        <v>257</v>
      </c>
      <c r="I65" s="6">
        <v>18.513999999999999</v>
      </c>
      <c r="J65" s="6">
        <v>7.2640000000000002</v>
      </c>
      <c r="K65" s="6" t="b">
        <v>1</v>
      </c>
      <c r="L65" s="6">
        <v>136</v>
      </c>
      <c r="M65" s="6">
        <v>112</v>
      </c>
      <c r="N65" s="6">
        <v>70.15822</v>
      </c>
      <c r="O65" s="6">
        <v>471</v>
      </c>
      <c r="P65" s="6" t="b">
        <v>1</v>
      </c>
      <c r="Q65" s="6">
        <v>135</v>
      </c>
      <c r="R65" s="6">
        <v>142</v>
      </c>
      <c r="S65" s="6">
        <v>493261</v>
      </c>
      <c r="T65" s="6">
        <v>55.252920000000003</v>
      </c>
      <c r="U65" s="6">
        <v>31</v>
      </c>
      <c r="X65" s="6">
        <v>7.2704409999999999</v>
      </c>
      <c r="Y65" s="6">
        <v>32.857379999999999</v>
      </c>
      <c r="Z65" s="6">
        <v>50.522522000000002</v>
      </c>
      <c r="AA65" s="6">
        <v>218</v>
      </c>
      <c r="AB65" s="6">
        <v>1.0518519</v>
      </c>
      <c r="AC65" s="6">
        <v>1.2678571999999999</v>
      </c>
      <c r="AD65" s="6" t="b">
        <v>1</v>
      </c>
      <c r="AE65" s="6" t="b">
        <v>0</v>
      </c>
      <c r="AF65" s="6" t="b">
        <v>0</v>
      </c>
      <c r="AH65" s="6">
        <v>257</v>
      </c>
      <c r="AL65" s="6">
        <v>31</v>
      </c>
      <c r="AM65" s="6">
        <v>33</v>
      </c>
      <c r="AO65" s="6">
        <v>52</v>
      </c>
      <c r="AP65" s="6">
        <v>155</v>
      </c>
      <c r="AQ65" s="6">
        <v>124</v>
      </c>
      <c r="AR65" s="6">
        <v>138</v>
      </c>
      <c r="AS65" s="6">
        <v>144</v>
      </c>
      <c r="AT65" s="6">
        <v>154</v>
      </c>
      <c r="AU65" s="6">
        <v>158</v>
      </c>
      <c r="AV65" s="6">
        <v>163</v>
      </c>
      <c r="AW65" s="6">
        <v>190</v>
      </c>
      <c r="AX65" s="6">
        <v>3423</v>
      </c>
      <c r="AY65" s="6">
        <v>226</v>
      </c>
      <c r="AZ65" s="6">
        <v>0</v>
      </c>
      <c r="BA65" s="6">
        <v>0</v>
      </c>
      <c r="BB65" s="6">
        <v>0</v>
      </c>
      <c r="BC65" s="6">
        <v>0</v>
      </c>
      <c r="BD65" s="6">
        <v>0</v>
      </c>
      <c r="BE65" s="6">
        <v>2437</v>
      </c>
      <c r="BF65" s="6">
        <v>1212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v>90</v>
      </c>
      <c r="BN65" s="6" t="b">
        <v>0</v>
      </c>
      <c r="BO65" s="6" t="b">
        <v>0</v>
      </c>
      <c r="BP65" s="6" t="b">
        <v>0</v>
      </c>
      <c r="BQ65" s="6">
        <v>3650</v>
      </c>
      <c r="BR65" s="6">
        <v>1200</v>
      </c>
      <c r="BS65" s="6">
        <v>600</v>
      </c>
      <c r="BW65" s="6">
        <v>144</v>
      </c>
      <c r="BX65" s="6">
        <v>142</v>
      </c>
      <c r="BY65" s="6">
        <v>10785</v>
      </c>
      <c r="BZ65" s="6">
        <v>198</v>
      </c>
      <c r="CA65" s="6" t="s">
        <v>418</v>
      </c>
      <c r="CB65" s="6" t="s">
        <v>409</v>
      </c>
      <c r="CD65" s="6" t="s">
        <v>196</v>
      </c>
      <c r="CE65" s="25">
        <v>1.95022E+18</v>
      </c>
    </row>
    <row r="66" spans="1:83" x14ac:dyDescent="0.2">
      <c r="A66" s="6" t="s">
        <v>419</v>
      </c>
      <c r="B66" s="24">
        <v>45895.282766203702</v>
      </c>
      <c r="C66" s="6" t="s">
        <v>420</v>
      </c>
      <c r="D66" s="6" t="s">
        <v>208</v>
      </c>
      <c r="E66" s="6">
        <v>3607</v>
      </c>
      <c r="F66" s="6">
        <v>22893.4</v>
      </c>
      <c r="G66" s="6">
        <v>3688</v>
      </c>
      <c r="H66" s="6">
        <v>86</v>
      </c>
      <c r="I66" s="6">
        <v>12.297000000000001</v>
      </c>
      <c r="J66" s="6">
        <v>6.3390000000000004</v>
      </c>
      <c r="K66" s="6" t="b">
        <v>1</v>
      </c>
      <c r="L66" s="6">
        <v>113</v>
      </c>
      <c r="M66" s="6">
        <v>90</v>
      </c>
      <c r="N66" s="6">
        <v>75.115264999999994</v>
      </c>
      <c r="O66" s="6">
        <v>323</v>
      </c>
      <c r="P66" s="6" t="b">
        <v>1</v>
      </c>
      <c r="Q66" s="6">
        <v>94</v>
      </c>
      <c r="R66" s="6">
        <v>94</v>
      </c>
      <c r="S66" s="6">
        <v>338493</v>
      </c>
      <c r="T66" s="6">
        <v>36.575873999999999</v>
      </c>
      <c r="U66" s="6">
        <v>13</v>
      </c>
      <c r="X66" s="6">
        <v>6.3469366999999997</v>
      </c>
      <c r="Y66" s="6">
        <v>38.232149999999997</v>
      </c>
      <c r="Z66" s="6">
        <v>52.221606999999999</v>
      </c>
      <c r="AA66" s="6">
        <v>219</v>
      </c>
      <c r="AB66" s="6">
        <v>1</v>
      </c>
      <c r="AC66" s="6">
        <v>1.0444443999999999</v>
      </c>
      <c r="AD66" s="6" t="b">
        <v>1</v>
      </c>
      <c r="AE66" s="6" t="b">
        <v>0</v>
      </c>
      <c r="AF66" s="6" t="b">
        <v>0</v>
      </c>
      <c r="AH66" s="6">
        <v>257</v>
      </c>
      <c r="AL66" s="6">
        <v>13</v>
      </c>
      <c r="AM66" s="6">
        <v>15</v>
      </c>
      <c r="AO66" s="6">
        <v>52</v>
      </c>
      <c r="AP66" s="6">
        <v>155</v>
      </c>
      <c r="AQ66" s="6">
        <v>124</v>
      </c>
      <c r="AR66" s="6">
        <v>138</v>
      </c>
      <c r="AS66" s="6">
        <v>144</v>
      </c>
      <c r="AT66" s="6">
        <v>154</v>
      </c>
      <c r="AU66" s="6">
        <v>158</v>
      </c>
      <c r="AV66" s="6">
        <v>163</v>
      </c>
      <c r="AW66" s="6">
        <v>190</v>
      </c>
      <c r="AX66" s="6">
        <v>3607</v>
      </c>
      <c r="AY66" s="6">
        <v>0</v>
      </c>
      <c r="AZ66" s="6">
        <v>0</v>
      </c>
      <c r="BA66" s="6">
        <v>0</v>
      </c>
      <c r="BB66" s="6">
        <v>0</v>
      </c>
      <c r="BC66" s="6">
        <v>0</v>
      </c>
      <c r="BD66" s="6">
        <v>0</v>
      </c>
      <c r="BE66" s="6">
        <v>3606</v>
      </c>
      <c r="BF66" s="6">
        <v>1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v>90</v>
      </c>
      <c r="BN66" s="6" t="b">
        <v>0</v>
      </c>
      <c r="BO66" s="6" t="b">
        <v>0</v>
      </c>
      <c r="BP66" s="6" t="b">
        <v>0</v>
      </c>
      <c r="BQ66" s="6">
        <v>3608</v>
      </c>
      <c r="BR66" s="6">
        <v>1200</v>
      </c>
      <c r="BS66" s="6">
        <v>600</v>
      </c>
      <c r="BW66" s="6">
        <v>93</v>
      </c>
      <c r="BX66" s="6">
        <v>92</v>
      </c>
      <c r="BY66" s="6">
        <v>6989</v>
      </c>
      <c r="BZ66" s="6">
        <v>218</v>
      </c>
      <c r="CA66" s="6" t="s">
        <v>421</v>
      </c>
      <c r="CB66" s="6" t="s">
        <v>422</v>
      </c>
      <c r="CD66" s="6" t="s">
        <v>196</v>
      </c>
      <c r="CE66" s="25">
        <v>1.9487E+18</v>
      </c>
    </row>
    <row r="67" spans="1:83" x14ac:dyDescent="0.2">
      <c r="A67" s="6" t="s">
        <v>423</v>
      </c>
      <c r="B67" s="24">
        <v>45893.337141203701</v>
      </c>
      <c r="C67" s="6" t="s">
        <v>424</v>
      </c>
      <c r="D67" s="6" t="s">
        <v>208</v>
      </c>
      <c r="E67" s="6">
        <v>2436</v>
      </c>
      <c r="F67" s="6">
        <v>11322.51</v>
      </c>
      <c r="G67" s="6">
        <v>2463</v>
      </c>
      <c r="H67" s="6">
        <v>154</v>
      </c>
      <c r="I67" s="6">
        <v>15.494999999999999</v>
      </c>
      <c r="J67" s="6">
        <v>4.6360000000000001</v>
      </c>
      <c r="K67" s="6" t="b">
        <v>1</v>
      </c>
      <c r="L67" s="6">
        <v>112</v>
      </c>
      <c r="M67" s="6">
        <v>92</v>
      </c>
      <c r="N67" s="6">
        <v>71.191689999999994</v>
      </c>
      <c r="O67" s="6">
        <v>209</v>
      </c>
      <c r="P67" s="6" t="b">
        <v>1</v>
      </c>
      <c r="Q67" s="6">
        <v>90</v>
      </c>
      <c r="R67" s="6">
        <v>90</v>
      </c>
      <c r="S67" s="6">
        <v>220497</v>
      </c>
      <c r="T67" s="6">
        <v>35.019455000000001</v>
      </c>
      <c r="U67" s="6">
        <v>8</v>
      </c>
      <c r="X67" s="6">
        <v>4.6479926000000003</v>
      </c>
      <c r="Y67" s="6">
        <v>48.573073999999998</v>
      </c>
      <c r="Z67" s="6">
        <v>54.447723000000003</v>
      </c>
      <c r="AA67" s="6">
        <v>219</v>
      </c>
      <c r="AB67" s="6">
        <v>1</v>
      </c>
      <c r="AC67" s="6">
        <v>0.97826089999999999</v>
      </c>
      <c r="AD67" s="6" t="b">
        <v>1</v>
      </c>
      <c r="AE67" s="6" t="b">
        <v>0</v>
      </c>
      <c r="AF67" s="6" t="b">
        <v>0</v>
      </c>
      <c r="AH67" s="6">
        <v>257</v>
      </c>
      <c r="AK67" s="6"/>
      <c r="AL67" s="6">
        <v>8</v>
      </c>
      <c r="AM67" s="6">
        <v>11</v>
      </c>
      <c r="AN67" s="6"/>
      <c r="AO67" s="6">
        <v>52</v>
      </c>
      <c r="AP67" s="6">
        <v>155</v>
      </c>
      <c r="AQ67" s="6">
        <v>124</v>
      </c>
      <c r="AR67" s="6">
        <v>138</v>
      </c>
      <c r="AS67" s="6">
        <v>144</v>
      </c>
      <c r="AT67" s="6">
        <v>154</v>
      </c>
      <c r="AU67" s="6">
        <v>158</v>
      </c>
      <c r="AV67" s="6">
        <v>163</v>
      </c>
      <c r="AW67" s="6">
        <v>190</v>
      </c>
      <c r="AX67" s="6">
        <v>2436</v>
      </c>
      <c r="AY67" s="6">
        <v>0</v>
      </c>
      <c r="AZ67" s="6">
        <v>0</v>
      </c>
      <c r="BA67" s="6">
        <v>0</v>
      </c>
      <c r="BB67" s="6">
        <v>0</v>
      </c>
      <c r="BC67" s="6">
        <v>0</v>
      </c>
      <c r="BD67" s="6">
        <v>0</v>
      </c>
      <c r="BE67" s="6">
        <v>2412</v>
      </c>
      <c r="BF67" s="6">
        <v>24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90</v>
      </c>
      <c r="BN67" s="6" t="b">
        <v>0</v>
      </c>
      <c r="BO67" s="6" t="b">
        <v>0</v>
      </c>
      <c r="BP67" s="6" t="b">
        <v>0</v>
      </c>
      <c r="BQ67" s="6">
        <v>2462</v>
      </c>
      <c r="BR67" s="6">
        <v>0</v>
      </c>
      <c r="BS67" s="6">
        <v>0</v>
      </c>
      <c r="BW67" s="6">
        <v>87</v>
      </c>
      <c r="BX67" s="6">
        <v>86</v>
      </c>
      <c r="BY67" s="6">
        <v>6574</v>
      </c>
      <c r="BZ67" s="6">
        <v>167</v>
      </c>
      <c r="CA67" s="6" t="s">
        <v>425</v>
      </c>
      <c r="CB67" s="6" t="s">
        <v>422</v>
      </c>
      <c r="CD67" s="6" t="s">
        <v>196</v>
      </c>
      <c r="CE67" s="25">
        <v>1.94729E+18</v>
      </c>
    </row>
    <row r="68" spans="1:83" x14ac:dyDescent="0.2">
      <c r="A68" s="6" t="s">
        <v>426</v>
      </c>
      <c r="B68" s="24">
        <v>45891.260370370372</v>
      </c>
      <c r="C68" s="6" t="s">
        <v>427</v>
      </c>
      <c r="D68" s="6" t="s">
        <v>193</v>
      </c>
      <c r="E68" s="6">
        <v>4450</v>
      </c>
      <c r="F68" s="6">
        <v>17704.490000000002</v>
      </c>
      <c r="G68" s="6">
        <v>4492</v>
      </c>
      <c r="H68" s="6">
        <v>137</v>
      </c>
      <c r="I68" s="6">
        <v>10.198</v>
      </c>
      <c r="J68" s="6">
        <v>3.9710000000000001</v>
      </c>
      <c r="K68" s="6" t="b">
        <v>1</v>
      </c>
      <c r="L68" s="6">
        <v>130</v>
      </c>
      <c r="M68" s="6">
        <v>97</v>
      </c>
      <c r="N68" s="6"/>
      <c r="O68" s="6">
        <v>393</v>
      </c>
      <c r="P68" s="6"/>
      <c r="Q68" s="6"/>
      <c r="R68" s="6"/>
      <c r="S68" s="6"/>
      <c r="T68" s="6">
        <v>44.766148000000001</v>
      </c>
      <c r="U68" s="6">
        <v>25</v>
      </c>
      <c r="X68" s="6">
        <v>3.9785370000000002</v>
      </c>
      <c r="Y68" s="6">
        <v>63.219603999999997</v>
      </c>
      <c r="Z68" s="6">
        <v>56.905790000000003</v>
      </c>
      <c r="AA68" s="6">
        <v>219</v>
      </c>
      <c r="AB68" s="6"/>
      <c r="AC68" s="6"/>
      <c r="AD68" s="6"/>
      <c r="AE68" s="6" t="b">
        <v>0</v>
      </c>
      <c r="AF68" s="6" t="b">
        <v>0</v>
      </c>
      <c r="AH68" s="6">
        <v>257</v>
      </c>
      <c r="AK68" s="6"/>
      <c r="AL68" s="6"/>
      <c r="AM68" s="6">
        <v>25</v>
      </c>
      <c r="AN68" s="6"/>
      <c r="AO68" s="6">
        <v>52</v>
      </c>
      <c r="AP68" s="6">
        <v>155</v>
      </c>
      <c r="AQ68" s="6">
        <v>124</v>
      </c>
      <c r="AR68" s="6">
        <v>138</v>
      </c>
      <c r="AS68" s="6">
        <v>144</v>
      </c>
      <c r="AT68" s="6">
        <v>154</v>
      </c>
      <c r="AU68" s="6">
        <v>158</v>
      </c>
      <c r="AV68" s="6">
        <v>163</v>
      </c>
      <c r="AW68" s="6">
        <v>190</v>
      </c>
      <c r="AX68" s="6">
        <v>4401</v>
      </c>
      <c r="AY68" s="6">
        <v>55</v>
      </c>
      <c r="AZ68" s="6">
        <v>0</v>
      </c>
      <c r="BA68" s="6">
        <v>0</v>
      </c>
      <c r="BB68" s="6">
        <v>0</v>
      </c>
      <c r="BC68" s="6">
        <v>0</v>
      </c>
      <c r="BD68" s="6">
        <v>0</v>
      </c>
      <c r="BE68" s="6"/>
      <c r="BF68" s="6"/>
      <c r="BG68" s="6"/>
      <c r="BH68" s="6"/>
      <c r="BI68" s="6"/>
      <c r="BJ68" s="6"/>
      <c r="BK68" s="6"/>
      <c r="BL68" s="6"/>
      <c r="BM68" s="6">
        <v>90</v>
      </c>
      <c r="BN68" s="6" t="b">
        <v>0</v>
      </c>
      <c r="BO68" s="6" t="b">
        <v>0</v>
      </c>
      <c r="BP68" s="6" t="b">
        <v>0</v>
      </c>
      <c r="BQ68" s="6">
        <v>4491</v>
      </c>
      <c r="BR68" s="6">
        <v>1200</v>
      </c>
      <c r="BS68" s="6">
        <v>600</v>
      </c>
      <c r="BW68" s="6"/>
      <c r="BX68" s="6"/>
      <c r="BY68" s="6"/>
      <c r="BZ68" s="6"/>
      <c r="CA68" s="6" t="s">
        <v>428</v>
      </c>
      <c r="CB68" s="6" t="s">
        <v>422</v>
      </c>
      <c r="CD68" s="6" t="s">
        <v>196</v>
      </c>
      <c r="CE68" s="6">
        <v>20141308898</v>
      </c>
    </row>
    <row r="69" spans="1:83" x14ac:dyDescent="0.2">
      <c r="A69" s="6" t="s">
        <v>429</v>
      </c>
      <c r="B69" s="24">
        <v>45890.333229166667</v>
      </c>
      <c r="C69" s="6" t="s">
        <v>430</v>
      </c>
      <c r="D69" s="6" t="s">
        <v>199</v>
      </c>
      <c r="E69" s="6">
        <v>3584</v>
      </c>
      <c r="F69" s="6">
        <v>8006.23</v>
      </c>
      <c r="G69" s="6">
        <v>3657</v>
      </c>
      <c r="H69" s="6">
        <v>148</v>
      </c>
      <c r="I69" s="6">
        <v>2.4260000000000002</v>
      </c>
      <c r="J69" s="6">
        <v>2.2320000000000002</v>
      </c>
      <c r="K69" s="6" t="b">
        <v>1</v>
      </c>
      <c r="L69" s="6">
        <v>135</v>
      </c>
      <c r="M69" s="6">
        <v>128</v>
      </c>
      <c r="N69" s="6">
        <v>81.056920000000005</v>
      </c>
      <c r="O69" s="6">
        <v>654</v>
      </c>
      <c r="P69" s="6"/>
      <c r="Q69" s="6"/>
      <c r="R69" s="6"/>
      <c r="S69" s="6"/>
      <c r="T69" s="6">
        <v>62.580494000000002</v>
      </c>
      <c r="U69" s="6">
        <v>39</v>
      </c>
      <c r="X69" s="6">
        <v>2.2338811999999999</v>
      </c>
      <c r="Y69" s="6">
        <v>69.088800000000006</v>
      </c>
      <c r="Z69" s="6">
        <v>57.674563999999997</v>
      </c>
      <c r="AA69" s="6"/>
      <c r="AB69" s="6"/>
      <c r="AC69" s="6"/>
      <c r="AD69" s="6"/>
      <c r="AE69" s="6" t="b">
        <v>0</v>
      </c>
      <c r="AF69" s="6" t="b">
        <v>0</v>
      </c>
      <c r="AH69" s="6">
        <v>200</v>
      </c>
      <c r="AK69" s="6">
        <v>2.2222222999999999</v>
      </c>
      <c r="AL69" s="6"/>
      <c r="AM69" s="6">
        <v>39</v>
      </c>
      <c r="AN69" s="6">
        <v>106</v>
      </c>
      <c r="AO69" s="6">
        <v>52</v>
      </c>
      <c r="AP69" s="6">
        <v>163</v>
      </c>
      <c r="AQ69" s="6">
        <v>137</v>
      </c>
      <c r="AR69" s="6">
        <v>145</v>
      </c>
      <c r="AS69" s="6">
        <v>153</v>
      </c>
      <c r="AT69" s="6">
        <v>162</v>
      </c>
      <c r="AU69" s="6">
        <v>166</v>
      </c>
      <c r="AV69" s="6">
        <v>171</v>
      </c>
      <c r="AW69" s="6">
        <v>175</v>
      </c>
      <c r="AX69" s="6">
        <v>3587</v>
      </c>
      <c r="AY69" s="6">
        <v>0</v>
      </c>
      <c r="AZ69" s="6">
        <v>0</v>
      </c>
      <c r="BA69" s="6">
        <v>0</v>
      </c>
      <c r="BB69" s="6">
        <v>0</v>
      </c>
      <c r="BC69" s="6">
        <v>0</v>
      </c>
      <c r="BD69" s="6">
        <v>0</v>
      </c>
      <c r="BE69" s="6"/>
      <c r="BF69" s="6"/>
      <c r="BG69" s="6"/>
      <c r="BH69" s="6"/>
      <c r="BI69" s="6"/>
      <c r="BJ69" s="6"/>
      <c r="BK69" s="6"/>
      <c r="BL69" s="6"/>
      <c r="BM69" s="6">
        <v>90</v>
      </c>
      <c r="BN69" s="6" t="b">
        <v>0</v>
      </c>
      <c r="BO69" s="6" t="b">
        <v>0</v>
      </c>
      <c r="BP69" s="6" t="b">
        <v>0</v>
      </c>
      <c r="BQ69" s="6">
        <v>3585</v>
      </c>
      <c r="BR69" s="6">
        <v>300</v>
      </c>
      <c r="BS69" s="6">
        <v>300</v>
      </c>
      <c r="BW69" s="6"/>
      <c r="BX69" s="6"/>
      <c r="BY69" s="6"/>
      <c r="BZ69" s="6"/>
      <c r="CA69" s="6" t="s">
        <v>431</v>
      </c>
      <c r="CB69" s="6" t="s">
        <v>354</v>
      </c>
      <c r="CD69" s="6" t="s">
        <v>196</v>
      </c>
      <c r="CE69" s="25">
        <v>20131936203</v>
      </c>
    </row>
    <row r="70" spans="1:83" x14ac:dyDescent="0.2">
      <c r="A70" s="6" t="s">
        <v>432</v>
      </c>
      <c r="B70" s="24">
        <v>45890.252893518518</v>
      </c>
      <c r="C70" s="6" t="s">
        <v>433</v>
      </c>
      <c r="D70" s="6" t="s">
        <v>208</v>
      </c>
      <c r="E70" s="6">
        <v>4832</v>
      </c>
      <c r="F70" s="6">
        <v>35832.99</v>
      </c>
      <c r="G70" s="6">
        <v>4839</v>
      </c>
      <c r="H70" s="6">
        <v>277</v>
      </c>
      <c r="I70" s="6">
        <v>17.876000000000001</v>
      </c>
      <c r="J70" s="6">
        <v>7.452</v>
      </c>
      <c r="K70" s="6" t="b">
        <v>1</v>
      </c>
      <c r="L70" s="6">
        <v>149</v>
      </c>
      <c r="M70" s="6">
        <v>128</v>
      </c>
      <c r="N70" s="6">
        <v>71.970275999999998</v>
      </c>
      <c r="O70" s="6">
        <v>684</v>
      </c>
      <c r="P70" s="6" t="b">
        <v>1</v>
      </c>
      <c r="Q70" s="6">
        <v>149</v>
      </c>
      <c r="R70" s="6">
        <v>160</v>
      </c>
      <c r="S70" s="6">
        <v>718755</v>
      </c>
      <c r="T70" s="6">
        <v>62.256810000000002</v>
      </c>
      <c r="U70" s="6">
        <v>52</v>
      </c>
      <c r="X70" s="6">
        <v>7.4157677</v>
      </c>
      <c r="Y70" s="6">
        <v>69.088800000000006</v>
      </c>
      <c r="Z70" s="6">
        <v>57.674563999999997</v>
      </c>
      <c r="AA70" s="6">
        <v>219</v>
      </c>
      <c r="AB70" s="6">
        <v>1.0738255000000001</v>
      </c>
      <c r="AC70" s="6">
        <v>1.25</v>
      </c>
      <c r="AD70" s="6" t="b">
        <v>1</v>
      </c>
      <c r="AE70" s="6" t="b">
        <v>0</v>
      </c>
      <c r="AF70" s="6" t="b">
        <v>0</v>
      </c>
      <c r="AH70" s="6">
        <v>257</v>
      </c>
      <c r="AL70" s="6">
        <v>52</v>
      </c>
      <c r="AM70" s="6">
        <v>71</v>
      </c>
      <c r="AO70" s="6">
        <v>52</v>
      </c>
      <c r="AP70" s="6">
        <v>155</v>
      </c>
      <c r="AQ70" s="6">
        <v>124</v>
      </c>
      <c r="AR70" s="6">
        <v>138</v>
      </c>
      <c r="AS70" s="6">
        <v>144</v>
      </c>
      <c r="AT70" s="6">
        <v>154</v>
      </c>
      <c r="AU70" s="6">
        <v>158</v>
      </c>
      <c r="AV70" s="6">
        <v>163</v>
      </c>
      <c r="AW70" s="6">
        <v>190</v>
      </c>
      <c r="AX70" s="6">
        <v>1406</v>
      </c>
      <c r="AY70" s="6">
        <v>2444</v>
      </c>
      <c r="AZ70" s="6">
        <v>812</v>
      </c>
      <c r="BA70" s="6">
        <v>170</v>
      </c>
      <c r="BB70" s="6">
        <v>0</v>
      </c>
      <c r="BC70" s="6">
        <v>0</v>
      </c>
      <c r="BD70" s="6">
        <v>0</v>
      </c>
      <c r="BE70" s="6">
        <v>1488</v>
      </c>
      <c r="BF70" s="6">
        <v>2445</v>
      </c>
      <c r="BG70" s="6">
        <v>899</v>
      </c>
      <c r="BH70" s="6">
        <v>0</v>
      </c>
      <c r="BI70" s="6">
        <v>0</v>
      </c>
      <c r="BJ70" s="6">
        <v>0</v>
      </c>
      <c r="BK70" s="6">
        <v>0</v>
      </c>
      <c r="BL70" s="6">
        <v>2</v>
      </c>
      <c r="BM70" s="6">
        <v>90</v>
      </c>
      <c r="BN70" s="6" t="b">
        <v>0</v>
      </c>
      <c r="BO70" s="6" t="b">
        <v>0</v>
      </c>
      <c r="BP70" s="6" t="b">
        <v>0</v>
      </c>
      <c r="BQ70" s="6">
        <v>4838</v>
      </c>
      <c r="BR70" s="6">
        <v>1200</v>
      </c>
      <c r="BS70" s="6">
        <v>600</v>
      </c>
      <c r="BW70" s="6">
        <v>170</v>
      </c>
      <c r="BX70" s="6">
        <v>166</v>
      </c>
      <c r="BY70" s="6">
        <v>14965</v>
      </c>
      <c r="BZ70" s="6">
        <v>231</v>
      </c>
      <c r="CA70" s="6" t="s">
        <v>434</v>
      </c>
      <c r="CB70" s="6" t="s">
        <v>435</v>
      </c>
      <c r="CD70" s="6" t="s">
        <v>196</v>
      </c>
      <c r="CE70" s="25">
        <v>1.94506E+18</v>
      </c>
    </row>
    <row r="71" spans="1:83" x14ac:dyDescent="0.2">
      <c r="A71" s="6" t="s">
        <v>436</v>
      </c>
      <c r="B71" s="24">
        <v>45889.74732638889</v>
      </c>
      <c r="C71" s="6" t="s">
        <v>437</v>
      </c>
      <c r="D71" s="6" t="s">
        <v>208</v>
      </c>
      <c r="E71" s="6">
        <v>4510</v>
      </c>
      <c r="F71" s="6">
        <v>31731.94</v>
      </c>
      <c r="G71" s="6">
        <v>4515</v>
      </c>
      <c r="H71" s="6">
        <v>186</v>
      </c>
      <c r="I71" s="6">
        <v>13.762</v>
      </c>
      <c r="J71" s="6">
        <v>7.0309999999999997</v>
      </c>
      <c r="K71" s="6" t="b">
        <v>1</v>
      </c>
      <c r="L71" s="6">
        <v>142</v>
      </c>
      <c r="M71" s="6">
        <v>110</v>
      </c>
      <c r="N71" s="6">
        <v>78.126480000000001</v>
      </c>
      <c r="O71" s="6">
        <v>509</v>
      </c>
      <c r="P71" s="6" t="b">
        <v>1</v>
      </c>
      <c r="Q71" s="6">
        <v>118</v>
      </c>
      <c r="R71" s="6">
        <v>140</v>
      </c>
      <c r="S71" s="6">
        <v>533827</v>
      </c>
      <c r="T71" s="6">
        <v>54.474710000000002</v>
      </c>
      <c r="U71" s="6">
        <v>37</v>
      </c>
      <c r="X71" s="6">
        <v>7.0359069999999999</v>
      </c>
      <c r="Y71" s="6">
        <v>65.724010000000007</v>
      </c>
      <c r="Z71" s="6">
        <v>56.871581999999997</v>
      </c>
      <c r="AA71" s="6">
        <v>219</v>
      </c>
      <c r="AB71" s="6">
        <v>1.1864406999999999</v>
      </c>
      <c r="AC71" s="6">
        <v>1.2727272999999999</v>
      </c>
      <c r="AD71" s="6" t="b">
        <v>1</v>
      </c>
      <c r="AE71" s="6" t="b">
        <v>0</v>
      </c>
      <c r="AF71" s="6" t="b">
        <v>0</v>
      </c>
      <c r="AH71" s="6">
        <v>257</v>
      </c>
      <c r="AL71" s="6">
        <v>37</v>
      </c>
      <c r="AM71" s="6">
        <v>40</v>
      </c>
      <c r="AO71" s="6">
        <v>52</v>
      </c>
      <c r="AP71" s="6">
        <v>155</v>
      </c>
      <c r="AQ71" s="6">
        <v>124</v>
      </c>
      <c r="AR71" s="6">
        <v>138</v>
      </c>
      <c r="AS71" s="6">
        <v>144</v>
      </c>
      <c r="AT71" s="6">
        <v>154</v>
      </c>
      <c r="AU71" s="6">
        <v>158</v>
      </c>
      <c r="AV71" s="6">
        <v>163</v>
      </c>
      <c r="AW71" s="6">
        <v>190</v>
      </c>
      <c r="AX71" s="6">
        <v>3784</v>
      </c>
      <c r="AY71" s="6">
        <v>380</v>
      </c>
      <c r="AZ71" s="6">
        <v>346</v>
      </c>
      <c r="BA71" s="6">
        <v>0</v>
      </c>
      <c r="BB71" s="6">
        <v>0</v>
      </c>
      <c r="BC71" s="6">
        <v>0</v>
      </c>
      <c r="BD71" s="6">
        <v>0</v>
      </c>
      <c r="BE71" s="6">
        <v>3417</v>
      </c>
      <c r="BF71" s="6">
        <v>566</v>
      </c>
      <c r="BG71" s="6">
        <v>526</v>
      </c>
      <c r="BH71" s="6">
        <v>1</v>
      </c>
      <c r="BI71" s="6">
        <v>0</v>
      </c>
      <c r="BJ71" s="6">
        <v>0</v>
      </c>
      <c r="BK71" s="6">
        <v>0</v>
      </c>
      <c r="BL71" s="6">
        <v>8</v>
      </c>
      <c r="BM71" s="6">
        <v>90</v>
      </c>
      <c r="BN71" s="6" t="b">
        <v>0</v>
      </c>
      <c r="BO71" s="6" t="b">
        <v>0</v>
      </c>
      <c r="BP71" s="6" t="b">
        <v>0</v>
      </c>
      <c r="BQ71" s="6">
        <v>4514</v>
      </c>
      <c r="BR71" s="6">
        <v>1200</v>
      </c>
      <c r="BS71" s="6">
        <v>600</v>
      </c>
      <c r="BW71" s="6">
        <v>156</v>
      </c>
      <c r="BX71" s="6">
        <v>153</v>
      </c>
      <c r="BY71" s="6">
        <v>12518</v>
      </c>
      <c r="BZ71" s="6">
        <v>246</v>
      </c>
      <c r="CA71" s="6" t="s">
        <v>438</v>
      </c>
      <c r="CB71" s="6" t="s">
        <v>435</v>
      </c>
      <c r="CD71" s="6" t="s">
        <v>196</v>
      </c>
      <c r="CE71" s="25">
        <v>1.94469E+18</v>
      </c>
    </row>
    <row r="72" spans="1:83" x14ac:dyDescent="0.2">
      <c r="A72" s="6" t="s">
        <v>439</v>
      </c>
      <c r="B72" s="24">
        <v>45889.227083333331</v>
      </c>
      <c r="C72" s="6" t="s">
        <v>440</v>
      </c>
      <c r="D72" s="6" t="s">
        <v>208</v>
      </c>
      <c r="E72" s="6">
        <v>9032</v>
      </c>
      <c r="F72" s="6">
        <v>52884.32</v>
      </c>
      <c r="G72" s="6">
        <v>9041</v>
      </c>
      <c r="H72" s="6">
        <v>514</v>
      </c>
      <c r="I72" s="6">
        <v>14.195</v>
      </c>
      <c r="J72" s="6">
        <v>5.8620000000000001</v>
      </c>
      <c r="K72" s="6" t="b">
        <v>1</v>
      </c>
      <c r="L72" s="6">
        <v>153</v>
      </c>
      <c r="M72" s="6">
        <v>131</v>
      </c>
      <c r="N72" s="6">
        <v>72.515889999999999</v>
      </c>
      <c r="O72" s="6">
        <v>1256</v>
      </c>
      <c r="P72" s="6" t="b">
        <v>1</v>
      </c>
      <c r="Q72" s="6">
        <v>146</v>
      </c>
      <c r="R72" s="6">
        <v>158</v>
      </c>
      <c r="S72" s="6">
        <v>1316331</v>
      </c>
      <c r="T72" s="6">
        <v>61.4786</v>
      </c>
      <c r="U72" s="6">
        <v>95</v>
      </c>
      <c r="X72" s="6">
        <v>5.8552169999999997</v>
      </c>
      <c r="Y72" s="6">
        <v>65.724010000000007</v>
      </c>
      <c r="Z72" s="6">
        <v>56.871581999999997</v>
      </c>
      <c r="AA72" s="6">
        <v>219</v>
      </c>
      <c r="AB72" s="6">
        <v>1.0821917999999999</v>
      </c>
      <c r="AC72" s="6">
        <v>1.2061069</v>
      </c>
      <c r="AD72" s="6" t="b">
        <v>1</v>
      </c>
      <c r="AE72" s="6" t="b">
        <v>0</v>
      </c>
      <c r="AF72" s="6" t="b">
        <v>0</v>
      </c>
      <c r="AH72" s="6">
        <v>257</v>
      </c>
      <c r="AL72" s="6">
        <v>95</v>
      </c>
      <c r="AM72" s="6">
        <v>144</v>
      </c>
      <c r="AO72" s="6">
        <v>52</v>
      </c>
      <c r="AP72" s="6">
        <v>155</v>
      </c>
      <c r="AQ72" s="6">
        <v>124</v>
      </c>
      <c r="AR72" s="6">
        <v>138</v>
      </c>
      <c r="AS72" s="6">
        <v>144</v>
      </c>
      <c r="AT72" s="6">
        <v>154</v>
      </c>
      <c r="AU72" s="6">
        <v>158</v>
      </c>
      <c r="AV72" s="6">
        <v>163</v>
      </c>
      <c r="AW72" s="6">
        <v>190</v>
      </c>
      <c r="AX72" s="6">
        <v>2848</v>
      </c>
      <c r="AY72" s="6">
        <v>2623</v>
      </c>
      <c r="AZ72" s="6">
        <v>2289</v>
      </c>
      <c r="BA72" s="6">
        <v>1272</v>
      </c>
      <c r="BB72" s="6">
        <v>0</v>
      </c>
      <c r="BC72" s="6">
        <v>0</v>
      </c>
      <c r="BD72" s="6">
        <v>0</v>
      </c>
      <c r="BE72" s="6">
        <v>2008</v>
      </c>
      <c r="BF72" s="6">
        <v>6964</v>
      </c>
      <c r="BG72" s="6">
        <v>60</v>
      </c>
      <c r="BH72" s="6">
        <v>0</v>
      </c>
      <c r="BI72" s="6">
        <v>0</v>
      </c>
      <c r="BJ72" s="6">
        <v>0</v>
      </c>
      <c r="BK72" s="6">
        <v>0</v>
      </c>
      <c r="BL72" s="6">
        <v>2</v>
      </c>
      <c r="BM72" s="6">
        <v>90</v>
      </c>
      <c r="BN72" s="6" t="b">
        <v>0</v>
      </c>
      <c r="BO72" s="6" t="b">
        <v>0</v>
      </c>
      <c r="BP72" s="6" t="b">
        <v>0</v>
      </c>
      <c r="BQ72" s="6">
        <v>9040</v>
      </c>
      <c r="BR72" s="6">
        <v>1200</v>
      </c>
      <c r="BS72" s="6">
        <v>600</v>
      </c>
      <c r="BW72" s="6">
        <v>185</v>
      </c>
      <c r="BX72" s="6">
        <v>182</v>
      </c>
      <c r="BY72" s="6">
        <v>13912</v>
      </c>
      <c r="BZ72" s="6">
        <v>256</v>
      </c>
      <c r="CA72" s="6" t="s">
        <v>441</v>
      </c>
      <c r="CB72" s="6" t="s">
        <v>435</v>
      </c>
      <c r="CD72" s="6" t="s">
        <v>196</v>
      </c>
      <c r="CE72" s="25">
        <v>1.94432E+18</v>
      </c>
    </row>
    <row r="73" spans="1:83" x14ac:dyDescent="0.2">
      <c r="A73" s="6" t="s">
        <v>442</v>
      </c>
      <c r="B73" s="24">
        <v>45888.279432870368</v>
      </c>
      <c r="C73" s="6" t="s">
        <v>443</v>
      </c>
      <c r="D73" s="6" t="s">
        <v>208</v>
      </c>
      <c r="E73" s="6">
        <v>3606</v>
      </c>
      <c r="F73" s="6">
        <v>25085</v>
      </c>
      <c r="G73" s="6">
        <v>3609</v>
      </c>
      <c r="H73" s="6">
        <v>192</v>
      </c>
      <c r="I73" s="6">
        <v>18.535</v>
      </c>
      <c r="J73" s="6">
        <v>6.9950000000000001</v>
      </c>
      <c r="K73" s="6" t="b">
        <v>1</v>
      </c>
      <c r="L73" s="6">
        <v>138</v>
      </c>
      <c r="M73" s="6">
        <v>116</v>
      </c>
      <c r="N73" s="6">
        <v>73.429490000000001</v>
      </c>
      <c r="O73" s="6">
        <v>504</v>
      </c>
      <c r="P73" s="6" t="b">
        <v>1</v>
      </c>
      <c r="Q73" s="6">
        <v>147</v>
      </c>
      <c r="R73" s="6">
        <v>154</v>
      </c>
      <c r="S73" s="6">
        <v>531529</v>
      </c>
      <c r="T73" s="6">
        <v>59.922179999999997</v>
      </c>
      <c r="U73" s="6">
        <v>36</v>
      </c>
      <c r="X73" s="6">
        <v>6.9564614000000002</v>
      </c>
      <c r="Y73" s="6">
        <v>55.546337000000001</v>
      </c>
      <c r="Z73" s="6">
        <v>55.061343999999998</v>
      </c>
      <c r="AA73" s="6">
        <v>219</v>
      </c>
      <c r="AB73" s="6">
        <v>1.0476190999999999</v>
      </c>
      <c r="AC73" s="6">
        <v>1.3275862</v>
      </c>
      <c r="AD73" s="6" t="b">
        <v>1</v>
      </c>
      <c r="AE73" s="6" t="b">
        <v>0</v>
      </c>
      <c r="AF73" s="6" t="b">
        <v>0</v>
      </c>
      <c r="AH73" s="6">
        <v>257</v>
      </c>
      <c r="AL73" s="6">
        <v>36</v>
      </c>
      <c r="AM73" s="6">
        <v>37</v>
      </c>
      <c r="AO73" s="6">
        <v>52</v>
      </c>
      <c r="AP73" s="6">
        <v>155</v>
      </c>
      <c r="AQ73" s="6">
        <v>124</v>
      </c>
      <c r="AR73" s="6">
        <v>138</v>
      </c>
      <c r="AS73" s="6">
        <v>144</v>
      </c>
      <c r="AT73" s="6">
        <v>154</v>
      </c>
      <c r="AU73" s="6">
        <v>158</v>
      </c>
      <c r="AV73" s="6">
        <v>163</v>
      </c>
      <c r="AW73" s="6">
        <v>190</v>
      </c>
      <c r="AX73" s="6">
        <v>2836</v>
      </c>
      <c r="AY73" s="6">
        <v>770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>
        <v>774</v>
      </c>
      <c r="BF73" s="6">
        <v>2832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v>90</v>
      </c>
      <c r="BN73" s="6" t="b">
        <v>0</v>
      </c>
      <c r="BO73" s="6" t="b">
        <v>0</v>
      </c>
      <c r="BP73" s="6" t="b">
        <v>0</v>
      </c>
      <c r="BQ73" s="6">
        <v>3608</v>
      </c>
      <c r="BR73" s="6">
        <v>1200</v>
      </c>
      <c r="BS73" s="6">
        <v>600</v>
      </c>
      <c r="BW73" s="6">
        <v>159</v>
      </c>
      <c r="BX73" s="6">
        <v>156</v>
      </c>
      <c r="BY73" s="6">
        <v>13153</v>
      </c>
      <c r="BZ73" s="6">
        <v>191</v>
      </c>
      <c r="CA73" s="6" t="s">
        <v>444</v>
      </c>
      <c r="CB73" s="6" t="s">
        <v>445</v>
      </c>
      <c r="CD73" s="6" t="s">
        <v>196</v>
      </c>
      <c r="CE73" s="25">
        <v>1.94363E+18</v>
      </c>
    </row>
    <row r="74" spans="1:83" x14ac:dyDescent="0.2">
      <c r="A74" s="6" t="s">
        <v>446</v>
      </c>
      <c r="B74" s="24">
        <v>45886.245520833334</v>
      </c>
      <c r="C74" s="6" t="s">
        <v>447</v>
      </c>
      <c r="D74" s="6" t="s">
        <v>208</v>
      </c>
      <c r="E74" s="6">
        <v>4515</v>
      </c>
      <c r="F74" s="6">
        <v>31632.18</v>
      </c>
      <c r="G74" s="6">
        <v>4517</v>
      </c>
      <c r="H74" s="6">
        <v>183</v>
      </c>
      <c r="I74" s="6">
        <v>13.196999999999999</v>
      </c>
      <c r="J74" s="6">
        <v>7.0010000000000003</v>
      </c>
      <c r="K74" s="6" t="b">
        <v>1</v>
      </c>
      <c r="L74" s="6">
        <v>128</v>
      </c>
      <c r="M74" s="6">
        <v>104</v>
      </c>
      <c r="N74" s="6">
        <v>76.137885999999995</v>
      </c>
      <c r="O74" s="6">
        <v>502</v>
      </c>
      <c r="P74" s="6" t="b">
        <v>1</v>
      </c>
      <c r="Q74" s="6">
        <v>117</v>
      </c>
      <c r="R74" s="6">
        <v>125</v>
      </c>
      <c r="S74" s="6">
        <v>526168</v>
      </c>
      <c r="T74" s="6">
        <v>48.638134000000001</v>
      </c>
      <c r="U74" s="6">
        <v>30</v>
      </c>
      <c r="X74" s="6">
        <v>7.0060200000000004</v>
      </c>
      <c r="Y74" s="6">
        <v>67.538889999999995</v>
      </c>
      <c r="Z74" s="6">
        <v>56.858414000000003</v>
      </c>
      <c r="AA74" s="6">
        <v>219</v>
      </c>
      <c r="AB74" s="6">
        <v>1.0683761000000001</v>
      </c>
      <c r="AC74" s="6">
        <v>1.2019230999999999</v>
      </c>
      <c r="AD74" s="6" t="b">
        <v>1</v>
      </c>
      <c r="AE74" s="6" t="b">
        <v>0</v>
      </c>
      <c r="AF74" s="6" t="b">
        <v>0</v>
      </c>
      <c r="AH74" s="6">
        <v>257</v>
      </c>
      <c r="AL74" s="6">
        <v>30</v>
      </c>
      <c r="AM74" s="6">
        <v>32</v>
      </c>
      <c r="AO74" s="6">
        <v>52</v>
      </c>
      <c r="AP74" s="6">
        <v>155</v>
      </c>
      <c r="AQ74" s="6">
        <v>124</v>
      </c>
      <c r="AR74" s="6">
        <v>138</v>
      </c>
      <c r="AS74" s="6">
        <v>144</v>
      </c>
      <c r="AT74" s="6">
        <v>154</v>
      </c>
      <c r="AU74" s="6">
        <v>158</v>
      </c>
      <c r="AV74" s="6">
        <v>163</v>
      </c>
      <c r="AW74" s="6">
        <v>190</v>
      </c>
      <c r="AX74" s="6">
        <v>4477</v>
      </c>
      <c r="AY74" s="6">
        <v>38</v>
      </c>
      <c r="AZ74" s="6">
        <v>0</v>
      </c>
      <c r="BA74" s="6">
        <v>0</v>
      </c>
      <c r="BB74" s="6">
        <v>0</v>
      </c>
      <c r="BC74" s="6">
        <v>0</v>
      </c>
      <c r="BD74" s="6">
        <v>0</v>
      </c>
      <c r="BE74" s="6">
        <v>2783</v>
      </c>
      <c r="BF74" s="6">
        <v>1732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90</v>
      </c>
      <c r="BN74" s="6" t="b">
        <v>0</v>
      </c>
      <c r="BO74" s="6" t="b">
        <v>0</v>
      </c>
      <c r="BP74" s="6" t="b">
        <v>0</v>
      </c>
      <c r="BQ74" s="6">
        <v>4516</v>
      </c>
      <c r="BR74" s="6">
        <v>1200</v>
      </c>
      <c r="BS74" s="6">
        <v>600</v>
      </c>
      <c r="BT74" s="6"/>
      <c r="BU74" s="6"/>
      <c r="BW74" s="6">
        <v>136</v>
      </c>
      <c r="BX74" s="6">
        <v>134</v>
      </c>
      <c r="BY74" s="6">
        <v>10194</v>
      </c>
      <c r="BZ74" s="6">
        <v>179</v>
      </c>
      <c r="CA74" s="6" t="s">
        <v>448</v>
      </c>
      <c r="CB74" s="6" t="s">
        <v>449</v>
      </c>
      <c r="CD74" s="6" t="s">
        <v>196</v>
      </c>
      <c r="CE74" s="25">
        <v>1.94216E+18</v>
      </c>
    </row>
    <row r="75" spans="1:83" x14ac:dyDescent="0.2">
      <c r="A75" s="6" t="s">
        <v>450</v>
      </c>
      <c r="B75" s="24">
        <v>45885.642962962964</v>
      </c>
      <c r="C75" s="6" t="s">
        <v>451</v>
      </c>
      <c r="D75" s="6" t="s">
        <v>208</v>
      </c>
      <c r="E75" s="6">
        <v>7207</v>
      </c>
      <c r="F75" s="6">
        <v>55969.36</v>
      </c>
      <c r="G75" s="6">
        <v>7209</v>
      </c>
      <c r="H75" s="6">
        <v>227</v>
      </c>
      <c r="I75" s="6">
        <v>12.510999999999999</v>
      </c>
      <c r="J75" s="6">
        <v>7.7619999999999996</v>
      </c>
      <c r="K75" s="6" t="b">
        <v>1</v>
      </c>
      <c r="L75" s="6">
        <v>139</v>
      </c>
      <c r="M75" s="6">
        <v>118</v>
      </c>
      <c r="N75" s="6">
        <v>70.892259999999993</v>
      </c>
      <c r="O75" s="6">
        <v>995</v>
      </c>
      <c r="P75" s="6" t="b">
        <v>1</v>
      </c>
      <c r="Q75" s="6">
        <v>145</v>
      </c>
      <c r="R75" s="6">
        <v>153</v>
      </c>
      <c r="S75" s="6">
        <v>1042037</v>
      </c>
      <c r="T75" s="6">
        <v>59.533073000000002</v>
      </c>
      <c r="U75" s="6">
        <v>71</v>
      </c>
      <c r="X75" s="6">
        <v>7.7659716999999997</v>
      </c>
      <c r="Y75" s="6">
        <v>73.303539999999998</v>
      </c>
      <c r="Z75" s="6">
        <v>57.505572999999998</v>
      </c>
      <c r="AA75" s="6">
        <v>219</v>
      </c>
      <c r="AB75" s="6">
        <v>1.0551724</v>
      </c>
      <c r="AC75" s="6">
        <v>1.2966101000000001</v>
      </c>
      <c r="AD75" s="6" t="b">
        <v>1</v>
      </c>
      <c r="AE75" s="6" t="b">
        <v>0</v>
      </c>
      <c r="AF75" s="6" t="b">
        <v>0</v>
      </c>
      <c r="AH75" s="6">
        <v>257</v>
      </c>
      <c r="AL75" s="6">
        <v>71</v>
      </c>
      <c r="AM75" s="6">
        <v>78</v>
      </c>
      <c r="AO75" s="6">
        <v>52</v>
      </c>
      <c r="AP75" s="6">
        <v>155</v>
      </c>
      <c r="AQ75" s="6">
        <v>124</v>
      </c>
      <c r="AR75" s="6">
        <v>138</v>
      </c>
      <c r="AS75" s="6">
        <v>144</v>
      </c>
      <c r="AT75" s="6">
        <v>154</v>
      </c>
      <c r="AU75" s="6">
        <v>158</v>
      </c>
      <c r="AV75" s="6">
        <v>163</v>
      </c>
      <c r="AW75" s="6">
        <v>190</v>
      </c>
      <c r="AX75" s="6">
        <v>5600</v>
      </c>
      <c r="AY75" s="6">
        <v>1600</v>
      </c>
      <c r="AZ75" s="6">
        <v>7</v>
      </c>
      <c r="BA75" s="6">
        <v>0</v>
      </c>
      <c r="BB75" s="6">
        <v>0</v>
      </c>
      <c r="BC75" s="6">
        <v>0</v>
      </c>
      <c r="BD75" s="6">
        <v>0</v>
      </c>
      <c r="BE75" s="6">
        <v>4222</v>
      </c>
      <c r="BF75" s="6">
        <v>1863</v>
      </c>
      <c r="BG75" s="6">
        <v>1122</v>
      </c>
      <c r="BH75" s="6">
        <v>0</v>
      </c>
      <c r="BI75" s="6">
        <v>0</v>
      </c>
      <c r="BJ75" s="6">
        <v>0</v>
      </c>
      <c r="BK75" s="6">
        <v>0</v>
      </c>
      <c r="BL75" s="6">
        <v>8</v>
      </c>
      <c r="BM75" s="6">
        <v>90</v>
      </c>
      <c r="BN75" s="6" t="b">
        <v>0</v>
      </c>
      <c r="BO75" s="6" t="b">
        <v>0</v>
      </c>
      <c r="BP75" s="6" t="b">
        <v>0</v>
      </c>
      <c r="BQ75" s="6">
        <v>7208</v>
      </c>
      <c r="BR75" s="6">
        <v>1200</v>
      </c>
      <c r="BS75" s="6">
        <v>600</v>
      </c>
      <c r="BT75" s="6"/>
      <c r="BU75" s="6"/>
      <c r="BW75" s="6">
        <v>159</v>
      </c>
      <c r="BX75" s="6">
        <v>156</v>
      </c>
      <c r="BY75" s="6">
        <v>13280</v>
      </c>
      <c r="BZ75" s="6">
        <v>233</v>
      </c>
      <c r="CA75" s="6" t="s">
        <v>452</v>
      </c>
      <c r="CB75" s="6" t="s">
        <v>449</v>
      </c>
      <c r="CD75" s="6" t="s">
        <v>196</v>
      </c>
      <c r="CE75" s="25">
        <v>1.94172E+18</v>
      </c>
    </row>
    <row r="76" spans="1:83" x14ac:dyDescent="0.2">
      <c r="A76" s="6" t="s">
        <v>453</v>
      </c>
      <c r="B76" s="24">
        <v>45885.292951388888</v>
      </c>
      <c r="C76" s="6" t="s">
        <v>454</v>
      </c>
      <c r="D76" s="6" t="s">
        <v>208</v>
      </c>
      <c r="E76" s="6">
        <v>5419</v>
      </c>
      <c r="F76" s="6">
        <v>42718.39</v>
      </c>
      <c r="G76" s="6">
        <v>5421</v>
      </c>
      <c r="H76" s="6">
        <v>163</v>
      </c>
      <c r="I76" s="6">
        <v>13.983000000000001</v>
      </c>
      <c r="J76" s="6">
        <v>7.8780000000000001</v>
      </c>
      <c r="K76" s="6" t="b">
        <v>1</v>
      </c>
      <c r="L76" s="6">
        <v>174</v>
      </c>
      <c r="M76" s="6">
        <v>131</v>
      </c>
      <c r="N76" s="6">
        <v>68.811499999999995</v>
      </c>
      <c r="O76" s="6">
        <v>787</v>
      </c>
      <c r="P76" s="6" t="b">
        <v>1</v>
      </c>
      <c r="Q76" s="6">
        <v>152</v>
      </c>
      <c r="R76" s="6">
        <v>175</v>
      </c>
      <c r="S76" s="6">
        <v>824441</v>
      </c>
      <c r="T76" s="6">
        <v>68.093379999999996</v>
      </c>
      <c r="U76" s="6">
        <v>70</v>
      </c>
      <c r="X76" s="6">
        <v>7.883076</v>
      </c>
      <c r="Y76" s="6">
        <v>73.303539999999998</v>
      </c>
      <c r="Z76" s="6">
        <v>57.505572999999998</v>
      </c>
      <c r="AA76" s="6">
        <v>219</v>
      </c>
      <c r="AB76" s="6">
        <v>1.1513157999999999</v>
      </c>
      <c r="AC76" s="6">
        <v>1.3358779000000001</v>
      </c>
      <c r="AD76" s="6" t="b">
        <v>1</v>
      </c>
      <c r="AE76" s="6" t="b">
        <v>0</v>
      </c>
      <c r="AF76" s="6" t="b">
        <v>0</v>
      </c>
      <c r="AH76" s="6">
        <v>257</v>
      </c>
      <c r="AL76" s="6">
        <v>70</v>
      </c>
      <c r="AM76" s="6">
        <v>89</v>
      </c>
      <c r="AO76" s="6">
        <v>52</v>
      </c>
      <c r="AP76" s="6">
        <v>155</v>
      </c>
      <c r="AQ76" s="6">
        <v>124</v>
      </c>
      <c r="AR76" s="6">
        <v>138</v>
      </c>
      <c r="AS76" s="6">
        <v>144</v>
      </c>
      <c r="AT76" s="6">
        <v>154</v>
      </c>
      <c r="AU76" s="6">
        <v>158</v>
      </c>
      <c r="AV76" s="6">
        <v>163</v>
      </c>
      <c r="AW76" s="6">
        <v>190</v>
      </c>
      <c r="AX76" s="6">
        <v>1960</v>
      </c>
      <c r="AY76" s="6">
        <v>1584</v>
      </c>
      <c r="AZ76" s="6">
        <v>373</v>
      </c>
      <c r="BA76" s="6">
        <v>1106</v>
      </c>
      <c r="BB76" s="6">
        <v>146</v>
      </c>
      <c r="BC76" s="6">
        <v>73</v>
      </c>
      <c r="BD76" s="6">
        <v>177</v>
      </c>
      <c r="BE76" s="6">
        <v>2933</v>
      </c>
      <c r="BF76" s="6">
        <v>1009</v>
      </c>
      <c r="BG76" s="6">
        <v>643</v>
      </c>
      <c r="BH76" s="6">
        <v>834</v>
      </c>
      <c r="BI76" s="6">
        <v>0</v>
      </c>
      <c r="BJ76" s="6">
        <v>0</v>
      </c>
      <c r="BK76" s="6">
        <v>0</v>
      </c>
      <c r="BL76" s="6">
        <v>844</v>
      </c>
      <c r="BM76" s="6">
        <v>90</v>
      </c>
      <c r="BN76" s="6" t="b">
        <v>0</v>
      </c>
      <c r="BO76" s="6" t="b">
        <v>0</v>
      </c>
      <c r="BP76" s="6" t="b">
        <v>0</v>
      </c>
      <c r="BQ76" s="6">
        <v>5420</v>
      </c>
      <c r="BR76" s="6">
        <v>1200</v>
      </c>
      <c r="BS76" s="6">
        <v>600</v>
      </c>
      <c r="BT76" s="6">
        <v>27</v>
      </c>
      <c r="BU76" s="6">
        <v>155</v>
      </c>
      <c r="BW76" s="6">
        <v>193</v>
      </c>
      <c r="BX76" s="6">
        <v>190</v>
      </c>
      <c r="BY76" s="6">
        <v>13458</v>
      </c>
      <c r="BZ76" s="6">
        <v>266</v>
      </c>
      <c r="CA76" s="6" t="s">
        <v>455</v>
      </c>
      <c r="CB76" s="6" t="s">
        <v>449</v>
      </c>
      <c r="CD76" s="6" t="s">
        <v>196</v>
      </c>
      <c r="CE76" s="25">
        <v>1.94146E+18</v>
      </c>
    </row>
    <row r="77" spans="1:83" x14ac:dyDescent="0.2">
      <c r="A77" s="6" t="s">
        <v>456</v>
      </c>
      <c r="B77" s="24">
        <v>45883.426111111112</v>
      </c>
      <c r="C77" s="6" t="s">
        <v>457</v>
      </c>
      <c r="D77" s="6" t="s">
        <v>208</v>
      </c>
      <c r="E77" s="6">
        <v>7804</v>
      </c>
      <c r="F77" s="6">
        <v>54911.59</v>
      </c>
      <c r="G77" s="6">
        <v>7891</v>
      </c>
      <c r="H77" s="6">
        <v>449</v>
      </c>
      <c r="I77" s="6">
        <v>15.31</v>
      </c>
      <c r="J77" s="6">
        <v>7.0309999999999997</v>
      </c>
      <c r="K77" s="6" t="b">
        <v>1</v>
      </c>
      <c r="L77" s="6">
        <v>150</v>
      </c>
      <c r="M77" s="6">
        <v>126</v>
      </c>
      <c r="N77" s="6">
        <v>72.011949999999999</v>
      </c>
      <c r="O77" s="6">
        <v>929</v>
      </c>
      <c r="P77" s="6" t="b">
        <v>1</v>
      </c>
      <c r="Q77" s="6">
        <v>125</v>
      </c>
      <c r="R77" s="6">
        <v>141</v>
      </c>
      <c r="S77" s="6">
        <v>972781</v>
      </c>
      <c r="T77" s="6">
        <v>54.863810000000001</v>
      </c>
      <c r="U77" s="6">
        <v>65</v>
      </c>
      <c r="X77" s="6">
        <v>7.0363389999999999</v>
      </c>
      <c r="Y77" s="6">
        <v>72.568160000000006</v>
      </c>
      <c r="Z77" s="6">
        <v>56.830889999999997</v>
      </c>
      <c r="AA77" s="6">
        <v>219</v>
      </c>
      <c r="AB77" s="6">
        <v>1.1279999999999999</v>
      </c>
      <c r="AC77" s="6">
        <v>1.1190476</v>
      </c>
      <c r="AD77" s="6" t="b">
        <v>1</v>
      </c>
      <c r="AE77" s="6" t="b">
        <v>0</v>
      </c>
      <c r="AF77" s="6" t="b">
        <v>0</v>
      </c>
      <c r="AH77" s="6">
        <v>257</v>
      </c>
      <c r="AL77" s="6">
        <v>65</v>
      </c>
      <c r="AM77" s="6">
        <v>108</v>
      </c>
      <c r="AO77" s="6">
        <v>52</v>
      </c>
      <c r="AP77" s="6">
        <v>155</v>
      </c>
      <c r="AQ77" s="6">
        <v>124</v>
      </c>
      <c r="AR77" s="6">
        <v>138</v>
      </c>
      <c r="AS77" s="6">
        <v>144</v>
      </c>
      <c r="AT77" s="6">
        <v>154</v>
      </c>
      <c r="AU77" s="6">
        <v>158</v>
      </c>
      <c r="AV77" s="6">
        <v>163</v>
      </c>
      <c r="AW77" s="6">
        <v>190</v>
      </c>
      <c r="AX77" s="6">
        <v>4248</v>
      </c>
      <c r="AY77" s="6">
        <v>2003</v>
      </c>
      <c r="AZ77" s="6">
        <v>1266</v>
      </c>
      <c r="BA77" s="6">
        <v>287</v>
      </c>
      <c r="BB77" s="6">
        <v>0</v>
      </c>
      <c r="BC77" s="6">
        <v>0</v>
      </c>
      <c r="BD77" s="6">
        <v>0</v>
      </c>
      <c r="BE77" s="6">
        <v>4932</v>
      </c>
      <c r="BF77" s="6">
        <v>2180</v>
      </c>
      <c r="BG77" s="6">
        <v>692</v>
      </c>
      <c r="BH77" s="6">
        <v>0</v>
      </c>
      <c r="BI77" s="6">
        <v>0</v>
      </c>
      <c r="BJ77" s="6">
        <v>0</v>
      </c>
      <c r="BK77" s="6">
        <v>0</v>
      </c>
      <c r="BL77" s="6">
        <v>3</v>
      </c>
      <c r="BM77" s="6">
        <v>90</v>
      </c>
      <c r="BN77" s="6" t="b">
        <v>0</v>
      </c>
      <c r="BO77" s="6" t="b">
        <v>0</v>
      </c>
      <c r="BP77" s="6" t="b">
        <v>0</v>
      </c>
      <c r="BQ77" s="6">
        <v>7806</v>
      </c>
      <c r="BR77" s="6">
        <v>1200</v>
      </c>
      <c r="BS77" s="6">
        <v>600</v>
      </c>
      <c r="BT77" s="6"/>
      <c r="BU77" s="6"/>
      <c r="BW77" s="6">
        <v>157</v>
      </c>
      <c r="BX77" s="6">
        <v>154</v>
      </c>
      <c r="BY77" s="6">
        <v>12645</v>
      </c>
      <c r="BZ77" s="6">
        <v>221</v>
      </c>
      <c r="CA77" s="6" t="s">
        <v>458</v>
      </c>
      <c r="CB77" s="6" t="s">
        <v>459</v>
      </c>
      <c r="CD77" s="6" t="s">
        <v>196</v>
      </c>
      <c r="CE77" s="25">
        <v>1.94011E+18</v>
      </c>
    </row>
    <row r="78" spans="1:83" x14ac:dyDescent="0.2">
      <c r="A78" s="6" t="s">
        <v>460</v>
      </c>
      <c r="B78" s="24">
        <v>45883.281770833331</v>
      </c>
      <c r="C78" s="6" t="s">
        <v>461</v>
      </c>
      <c r="D78" s="6" t="s">
        <v>220</v>
      </c>
      <c r="E78" s="6">
        <v>7392</v>
      </c>
      <c r="F78" s="6">
        <v>52224.17</v>
      </c>
      <c r="G78" s="6">
        <v>8567</v>
      </c>
      <c r="H78" s="6">
        <v>503</v>
      </c>
      <c r="I78" s="6">
        <v>16.664999999999999</v>
      </c>
      <c r="J78" s="6">
        <v>7.0259999999999998</v>
      </c>
      <c r="K78" s="6" t="b">
        <v>1</v>
      </c>
      <c r="L78" s="6">
        <v>163</v>
      </c>
      <c r="M78" s="6">
        <v>121</v>
      </c>
      <c r="N78" s="6"/>
      <c r="O78" s="6">
        <v>1220</v>
      </c>
      <c r="P78" s="6"/>
      <c r="Q78" s="6"/>
      <c r="R78" s="6"/>
      <c r="S78" s="6"/>
      <c r="T78" s="6">
        <v>68.51267</v>
      </c>
      <c r="U78" s="6">
        <v>98</v>
      </c>
      <c r="X78" s="6">
        <v>7.0649579999999998</v>
      </c>
      <c r="Y78" s="6">
        <v>72.568160000000006</v>
      </c>
      <c r="Z78" s="6">
        <v>56.830889999999997</v>
      </c>
      <c r="AA78" s="6">
        <v>219</v>
      </c>
      <c r="AB78" s="6"/>
      <c r="AC78" s="6"/>
      <c r="AD78" s="6"/>
      <c r="AE78" s="6" t="b">
        <v>0</v>
      </c>
      <c r="AF78" s="6" t="b">
        <v>0</v>
      </c>
      <c r="AH78" s="6">
        <v>257</v>
      </c>
      <c r="AL78" s="6"/>
      <c r="AM78" s="6">
        <v>98</v>
      </c>
      <c r="AO78" s="6">
        <v>52</v>
      </c>
      <c r="AP78" s="6">
        <v>155</v>
      </c>
      <c r="AQ78" s="6">
        <v>124</v>
      </c>
      <c r="AR78" s="6">
        <v>138</v>
      </c>
      <c r="AS78" s="6">
        <v>144</v>
      </c>
      <c r="AT78" s="6">
        <v>154</v>
      </c>
      <c r="AU78" s="6">
        <v>158</v>
      </c>
      <c r="AV78" s="6">
        <v>163</v>
      </c>
      <c r="AW78" s="6">
        <v>190</v>
      </c>
      <c r="AX78" s="6">
        <v>4112</v>
      </c>
      <c r="AY78" s="6">
        <v>1438</v>
      </c>
      <c r="AZ78" s="6">
        <v>636</v>
      </c>
      <c r="BA78" s="6">
        <v>571</v>
      </c>
      <c r="BB78" s="6">
        <v>275</v>
      </c>
      <c r="BC78" s="6">
        <v>274</v>
      </c>
      <c r="BD78" s="6">
        <v>0</v>
      </c>
      <c r="BE78" s="6"/>
      <c r="BF78" s="6"/>
      <c r="BG78" s="6"/>
      <c r="BH78" s="6"/>
      <c r="BI78" s="6"/>
      <c r="BJ78" s="6"/>
      <c r="BK78" s="6"/>
      <c r="BL78" s="6"/>
      <c r="BM78" s="6">
        <v>90</v>
      </c>
      <c r="BN78" s="6" t="b">
        <v>0</v>
      </c>
      <c r="BO78" s="6" t="b">
        <v>0</v>
      </c>
      <c r="BP78" s="6" t="b">
        <v>0</v>
      </c>
      <c r="BQ78" s="6">
        <v>7516</v>
      </c>
      <c r="BR78" s="6">
        <v>1200</v>
      </c>
      <c r="BS78" s="6">
        <v>600</v>
      </c>
      <c r="BT78" s="6">
        <v>11</v>
      </c>
      <c r="BU78" s="6">
        <v>162</v>
      </c>
      <c r="BW78" s="6"/>
      <c r="BX78" s="6"/>
      <c r="BY78" s="6"/>
      <c r="BZ78" s="6"/>
      <c r="CA78" s="6" t="s">
        <v>462</v>
      </c>
      <c r="CB78" s="6" t="s">
        <v>459</v>
      </c>
      <c r="CD78" s="6" t="s">
        <v>196</v>
      </c>
      <c r="CE78" s="25">
        <v>20057367327</v>
      </c>
    </row>
    <row r="79" spans="1:83" x14ac:dyDescent="0.2">
      <c r="A79" s="6" t="s">
        <v>463</v>
      </c>
      <c r="B79" s="24">
        <v>45882.398194444446</v>
      </c>
      <c r="C79" s="6" t="s">
        <v>464</v>
      </c>
      <c r="D79" s="6" t="s">
        <v>208</v>
      </c>
      <c r="E79" s="6">
        <v>6012</v>
      </c>
      <c r="F79" s="6">
        <v>36404.99</v>
      </c>
      <c r="G79" s="6">
        <v>6014</v>
      </c>
      <c r="H79" s="6">
        <v>302</v>
      </c>
      <c r="I79" s="6">
        <v>18.294</v>
      </c>
      <c r="J79" s="6">
        <v>6.0519999999999996</v>
      </c>
      <c r="K79" s="6" t="b">
        <v>1</v>
      </c>
      <c r="L79" s="6">
        <v>122</v>
      </c>
      <c r="M79" s="6">
        <v>103</v>
      </c>
      <c r="N79" s="6">
        <v>72.469764999999995</v>
      </c>
      <c r="O79" s="6">
        <v>643</v>
      </c>
      <c r="P79" s="6" t="b">
        <v>1</v>
      </c>
      <c r="Q79" s="6">
        <v>112</v>
      </c>
      <c r="R79" s="6">
        <v>121</v>
      </c>
      <c r="S79" s="6">
        <v>673292</v>
      </c>
      <c r="T79" s="6">
        <v>47.081710000000001</v>
      </c>
      <c r="U79" s="6">
        <v>37</v>
      </c>
      <c r="X79" s="6">
        <v>6.0553875000000001</v>
      </c>
      <c r="Y79" s="6">
        <v>58.680992000000003</v>
      </c>
      <c r="Z79" s="6">
        <v>54.27272</v>
      </c>
      <c r="AA79" s="6">
        <v>219</v>
      </c>
      <c r="AB79" s="6">
        <v>1.0803571999999999</v>
      </c>
      <c r="AC79" s="6">
        <v>1.1747571999999999</v>
      </c>
      <c r="AD79" s="6" t="b">
        <v>1</v>
      </c>
      <c r="AE79" s="6" t="b">
        <v>0</v>
      </c>
      <c r="AF79" s="6" t="b">
        <v>0</v>
      </c>
      <c r="AH79" s="6">
        <v>257</v>
      </c>
      <c r="AL79" s="6">
        <v>37</v>
      </c>
      <c r="AM79" s="6">
        <v>41</v>
      </c>
      <c r="AO79" s="6">
        <v>52</v>
      </c>
      <c r="AP79" s="6">
        <v>155</v>
      </c>
      <c r="AQ79" s="6">
        <v>124</v>
      </c>
      <c r="AR79" s="6">
        <v>138</v>
      </c>
      <c r="AS79" s="6">
        <v>144</v>
      </c>
      <c r="AT79" s="6">
        <v>154</v>
      </c>
      <c r="AU79" s="6">
        <v>158</v>
      </c>
      <c r="AV79" s="6">
        <v>163</v>
      </c>
      <c r="AW79" s="6">
        <v>190</v>
      </c>
      <c r="AX79" s="6">
        <v>6012</v>
      </c>
      <c r="AY79" s="6">
        <v>0</v>
      </c>
      <c r="AZ79" s="6">
        <v>0</v>
      </c>
      <c r="BA79" s="6">
        <v>0</v>
      </c>
      <c r="BB79" s="6">
        <v>0</v>
      </c>
      <c r="BC79" s="6">
        <v>0</v>
      </c>
      <c r="BD79" s="6">
        <v>0</v>
      </c>
      <c r="BE79" s="6">
        <v>4327</v>
      </c>
      <c r="BF79" s="6">
        <v>1685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90</v>
      </c>
      <c r="BN79" s="6" t="b">
        <v>0</v>
      </c>
      <c r="BO79" s="6" t="b">
        <v>0</v>
      </c>
      <c r="BP79" s="6" t="b">
        <v>0</v>
      </c>
      <c r="BQ79" s="6">
        <v>6013</v>
      </c>
      <c r="BR79" s="6">
        <v>1200</v>
      </c>
      <c r="BS79" s="6">
        <v>600</v>
      </c>
      <c r="BW79" s="6">
        <v>120</v>
      </c>
      <c r="BX79" s="6">
        <v>118</v>
      </c>
      <c r="BY79" s="6">
        <v>8981</v>
      </c>
      <c r="BZ79" s="6">
        <v>186</v>
      </c>
      <c r="CA79" s="6" t="s">
        <v>465</v>
      </c>
      <c r="CB79" s="6" t="s">
        <v>459</v>
      </c>
      <c r="CD79" s="6" t="s">
        <v>196</v>
      </c>
      <c r="CE79" s="25">
        <v>1.93937E+18</v>
      </c>
    </row>
    <row r="80" spans="1:83" x14ac:dyDescent="0.2">
      <c r="A80" s="6" t="s">
        <v>466</v>
      </c>
      <c r="B80" s="24">
        <v>45881.417442129627</v>
      </c>
      <c r="C80" s="6" t="s">
        <v>467</v>
      </c>
      <c r="D80" s="6" t="s">
        <v>208</v>
      </c>
      <c r="E80" s="6">
        <v>7204</v>
      </c>
      <c r="F80" s="6">
        <v>48406.39</v>
      </c>
      <c r="G80" s="6">
        <v>7270</v>
      </c>
      <c r="H80" s="6">
        <v>602</v>
      </c>
      <c r="I80" s="6">
        <v>16.234000000000002</v>
      </c>
      <c r="J80" s="6">
        <v>6.7149999999999999</v>
      </c>
      <c r="K80" s="6" t="b">
        <v>1</v>
      </c>
      <c r="L80" s="6">
        <v>136</v>
      </c>
      <c r="M80" s="6">
        <v>121</v>
      </c>
      <c r="N80" s="6">
        <v>75.006690000000006</v>
      </c>
      <c r="O80" s="6">
        <v>993</v>
      </c>
      <c r="P80" s="6" t="b">
        <v>1</v>
      </c>
      <c r="Q80" s="6">
        <v>144</v>
      </c>
      <c r="R80" s="6">
        <v>148</v>
      </c>
      <c r="S80" s="6">
        <v>1039489</v>
      </c>
      <c r="T80" s="6">
        <v>57.587547000000001</v>
      </c>
      <c r="U80" s="6">
        <v>66</v>
      </c>
      <c r="X80" s="6">
        <v>6.7193769999999997</v>
      </c>
      <c r="Y80" s="6">
        <v>62.010432999999999</v>
      </c>
      <c r="Z80" s="6">
        <v>54.68891</v>
      </c>
      <c r="AA80" s="6">
        <v>220</v>
      </c>
      <c r="AB80" s="6">
        <v>1.0277778</v>
      </c>
      <c r="AC80" s="6">
        <v>1.2231405</v>
      </c>
      <c r="AD80" s="6" t="b">
        <v>1</v>
      </c>
      <c r="AE80" s="6" t="b">
        <v>0</v>
      </c>
      <c r="AF80" s="6" t="b">
        <v>0</v>
      </c>
      <c r="AH80" s="6">
        <v>257</v>
      </c>
      <c r="AL80" s="6">
        <v>66</v>
      </c>
      <c r="AM80" s="6">
        <v>85</v>
      </c>
      <c r="AO80" s="6">
        <v>52</v>
      </c>
      <c r="AP80" s="6">
        <v>155</v>
      </c>
      <c r="AQ80" s="6">
        <v>124</v>
      </c>
      <c r="AR80" s="6">
        <v>138</v>
      </c>
      <c r="AS80" s="6">
        <v>144</v>
      </c>
      <c r="AT80" s="6">
        <v>154</v>
      </c>
      <c r="AU80" s="6">
        <v>158</v>
      </c>
      <c r="AV80" s="6">
        <v>163</v>
      </c>
      <c r="AW80" s="6">
        <v>190</v>
      </c>
      <c r="AX80" s="6">
        <v>4600</v>
      </c>
      <c r="AY80" s="6">
        <v>2604</v>
      </c>
      <c r="AZ80" s="6">
        <v>0</v>
      </c>
      <c r="BA80" s="6">
        <v>0</v>
      </c>
      <c r="BB80" s="6">
        <v>0</v>
      </c>
      <c r="BC80" s="6">
        <v>0</v>
      </c>
      <c r="BD80" s="6">
        <v>0</v>
      </c>
      <c r="BE80" s="6">
        <v>3958</v>
      </c>
      <c r="BF80" s="6">
        <v>3245</v>
      </c>
      <c r="BG80" s="6">
        <v>1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90</v>
      </c>
      <c r="BN80" s="6" t="b">
        <v>0</v>
      </c>
      <c r="BO80" s="6" t="b">
        <v>0</v>
      </c>
      <c r="BP80" s="6" t="b">
        <v>0</v>
      </c>
      <c r="BQ80" s="6">
        <v>7205</v>
      </c>
      <c r="BR80" s="6">
        <v>1200</v>
      </c>
      <c r="BS80" s="6">
        <v>600</v>
      </c>
      <c r="BW80" s="6">
        <v>152</v>
      </c>
      <c r="BX80" s="6">
        <v>149</v>
      </c>
      <c r="BY80" s="6">
        <v>11301</v>
      </c>
      <c r="BZ80" s="6">
        <v>201</v>
      </c>
      <c r="CA80" s="6" t="s">
        <v>468</v>
      </c>
      <c r="CB80" s="6" t="s">
        <v>469</v>
      </c>
      <c r="CD80" s="6" t="s">
        <v>196</v>
      </c>
      <c r="CE80" s="25">
        <v>1.93866E+18</v>
      </c>
    </row>
    <row r="81" spans="1:83" x14ac:dyDescent="0.2">
      <c r="A81" s="6" t="s">
        <v>470</v>
      </c>
      <c r="B81" s="24">
        <v>45879.282870370371</v>
      </c>
      <c r="C81" s="6" t="s">
        <v>471</v>
      </c>
      <c r="D81" s="6" t="s">
        <v>208</v>
      </c>
      <c r="E81" s="6">
        <v>5222</v>
      </c>
      <c r="F81" s="6">
        <v>40963.39</v>
      </c>
      <c r="G81" s="6">
        <v>5222</v>
      </c>
      <c r="H81" s="6">
        <v>351</v>
      </c>
      <c r="I81" s="6">
        <v>15.218</v>
      </c>
      <c r="J81" s="6">
        <v>7.8419999999999996</v>
      </c>
      <c r="K81" s="6" t="b">
        <v>1</v>
      </c>
      <c r="L81" s="6">
        <v>140</v>
      </c>
      <c r="M81" s="6">
        <v>129</v>
      </c>
      <c r="N81" s="6">
        <v>78.314155999999997</v>
      </c>
      <c r="O81" s="6">
        <v>752</v>
      </c>
      <c r="P81" s="6" t="b">
        <v>1</v>
      </c>
      <c r="Q81" s="6">
        <v>151</v>
      </c>
      <c r="R81" s="6">
        <v>154</v>
      </c>
      <c r="S81" s="6">
        <v>787588</v>
      </c>
      <c r="T81" s="6">
        <v>59.922179999999997</v>
      </c>
      <c r="U81" s="6">
        <v>52</v>
      </c>
      <c r="X81" s="6">
        <v>7.8443874999999998</v>
      </c>
      <c r="Y81" s="6">
        <v>70.826324</v>
      </c>
      <c r="Z81" s="6">
        <v>55.727542999999997</v>
      </c>
      <c r="AA81" s="6">
        <v>220</v>
      </c>
      <c r="AB81" s="6">
        <v>1.0198674999999999</v>
      </c>
      <c r="AC81" s="6">
        <v>1.1937983999999999</v>
      </c>
      <c r="AD81" s="6" t="b">
        <v>1</v>
      </c>
      <c r="AE81" s="6" t="b">
        <v>0</v>
      </c>
      <c r="AF81" s="6" t="b">
        <v>0</v>
      </c>
      <c r="AH81" s="6">
        <v>257</v>
      </c>
      <c r="AL81" s="6">
        <v>52</v>
      </c>
      <c r="AM81" s="6">
        <v>76</v>
      </c>
      <c r="AO81" s="6">
        <v>52</v>
      </c>
      <c r="AP81" s="6">
        <v>155</v>
      </c>
      <c r="AQ81" s="6">
        <v>124</v>
      </c>
      <c r="AR81" s="6">
        <v>138</v>
      </c>
      <c r="AS81" s="6">
        <v>144</v>
      </c>
      <c r="AT81" s="6">
        <v>154</v>
      </c>
      <c r="AU81" s="6">
        <v>158</v>
      </c>
      <c r="AV81" s="6">
        <v>163</v>
      </c>
      <c r="AW81" s="6">
        <v>190</v>
      </c>
      <c r="AX81" s="6">
        <v>593</v>
      </c>
      <c r="AY81" s="6">
        <v>4533</v>
      </c>
      <c r="AZ81" s="6">
        <v>97</v>
      </c>
      <c r="BA81" s="6">
        <v>0</v>
      </c>
      <c r="BB81" s="6">
        <v>0</v>
      </c>
      <c r="BC81" s="6">
        <v>0</v>
      </c>
      <c r="BD81" s="6">
        <v>0</v>
      </c>
      <c r="BE81" s="6">
        <v>667</v>
      </c>
      <c r="BF81" s="6">
        <v>4555</v>
      </c>
      <c r="BG81" s="6">
        <v>1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90</v>
      </c>
      <c r="BN81" s="6" t="b">
        <v>0</v>
      </c>
      <c r="BO81" s="6" t="b">
        <v>0</v>
      </c>
      <c r="BP81" s="6" t="b">
        <v>0</v>
      </c>
      <c r="BQ81" s="6">
        <v>5221</v>
      </c>
      <c r="BR81" s="6">
        <v>1200</v>
      </c>
      <c r="BS81" s="6">
        <v>600</v>
      </c>
      <c r="BW81" s="6">
        <v>158</v>
      </c>
      <c r="BX81" s="6">
        <v>155</v>
      </c>
      <c r="BY81" s="6">
        <v>13008</v>
      </c>
      <c r="BZ81" s="6">
        <v>201</v>
      </c>
      <c r="CA81" s="6" t="s">
        <v>472</v>
      </c>
      <c r="CB81" s="6" t="s">
        <v>469</v>
      </c>
      <c r="CD81" s="6" t="s">
        <v>196</v>
      </c>
      <c r="CE81" s="25">
        <v>1.93711E+18</v>
      </c>
    </row>
    <row r="82" spans="1:83" x14ac:dyDescent="0.2">
      <c r="A82" s="6" t="s">
        <v>473</v>
      </c>
      <c r="B82" s="24">
        <v>45878.499664351853</v>
      </c>
      <c r="C82" s="6" t="s">
        <v>420</v>
      </c>
      <c r="D82" s="6" t="s">
        <v>208</v>
      </c>
      <c r="E82" s="6">
        <v>3632</v>
      </c>
      <c r="F82" s="6">
        <v>23975.18</v>
      </c>
      <c r="G82" s="6">
        <v>3780</v>
      </c>
      <c r="H82" s="6">
        <v>86</v>
      </c>
      <c r="I82" s="6">
        <v>12.603999999999999</v>
      </c>
      <c r="J82" s="6">
        <v>6.593</v>
      </c>
      <c r="K82" s="6" t="b">
        <v>1</v>
      </c>
      <c r="L82" s="6">
        <v>135</v>
      </c>
      <c r="M82" s="6">
        <v>114</v>
      </c>
      <c r="N82" s="6">
        <v>79.886539999999997</v>
      </c>
      <c r="O82" s="6">
        <v>361</v>
      </c>
      <c r="P82" s="6" t="b">
        <v>1</v>
      </c>
      <c r="Q82" s="6">
        <v>104</v>
      </c>
      <c r="R82" s="6">
        <v>107</v>
      </c>
      <c r="S82" s="6">
        <v>377920</v>
      </c>
      <c r="T82" s="6">
        <v>41.634242999999998</v>
      </c>
      <c r="U82" s="6">
        <v>17</v>
      </c>
      <c r="X82" s="6">
        <v>6.6010957000000001</v>
      </c>
      <c r="Y82" s="6">
        <v>73.717389999999995</v>
      </c>
      <c r="Z82" s="6">
        <v>55.817360000000001</v>
      </c>
      <c r="AA82" s="6">
        <v>220</v>
      </c>
      <c r="AB82" s="6">
        <v>1.0288461</v>
      </c>
      <c r="AC82" s="6">
        <v>0.93859649999999994</v>
      </c>
      <c r="AD82" s="6" t="b">
        <v>1</v>
      </c>
      <c r="AE82" s="6" t="b">
        <v>0</v>
      </c>
      <c r="AF82" s="6" t="b">
        <v>0</v>
      </c>
      <c r="AH82" s="6">
        <v>257</v>
      </c>
      <c r="AL82" s="6">
        <v>17</v>
      </c>
      <c r="AM82" s="6">
        <v>34</v>
      </c>
      <c r="AO82" s="6">
        <v>52</v>
      </c>
      <c r="AP82" s="6">
        <v>155</v>
      </c>
      <c r="AQ82" s="6">
        <v>124</v>
      </c>
      <c r="AR82" s="6">
        <v>138</v>
      </c>
      <c r="AS82" s="6">
        <v>144</v>
      </c>
      <c r="AT82" s="6">
        <v>154</v>
      </c>
      <c r="AU82" s="6">
        <v>158</v>
      </c>
      <c r="AV82" s="6">
        <v>163</v>
      </c>
      <c r="AW82" s="6">
        <v>190</v>
      </c>
      <c r="AX82" s="6">
        <v>3396</v>
      </c>
      <c r="AY82" s="6">
        <v>236</v>
      </c>
      <c r="AZ82" s="6">
        <v>0</v>
      </c>
      <c r="BA82" s="6">
        <v>0</v>
      </c>
      <c r="BB82" s="6">
        <v>0</v>
      </c>
      <c r="BC82" s="6">
        <v>0</v>
      </c>
      <c r="BD82" s="6">
        <v>0</v>
      </c>
      <c r="BE82" s="6">
        <v>3630</v>
      </c>
      <c r="BF82" s="6">
        <v>2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v>90</v>
      </c>
      <c r="BN82" s="6" t="b">
        <v>0</v>
      </c>
      <c r="BO82" s="6" t="b">
        <v>0</v>
      </c>
      <c r="BP82" s="6" t="b">
        <v>0</v>
      </c>
      <c r="BQ82" s="6">
        <v>3645</v>
      </c>
      <c r="BR82" s="6">
        <v>1200</v>
      </c>
      <c r="BS82" s="6">
        <v>600</v>
      </c>
      <c r="BW82" s="6">
        <v>112</v>
      </c>
      <c r="BX82" s="6">
        <v>110</v>
      </c>
      <c r="BY82" s="6">
        <v>8366</v>
      </c>
      <c r="BZ82" s="6">
        <v>162</v>
      </c>
      <c r="CA82" s="6" t="s">
        <v>474</v>
      </c>
      <c r="CB82" s="6" t="s">
        <v>469</v>
      </c>
      <c r="CD82" s="6" t="s">
        <v>196</v>
      </c>
      <c r="CE82" s="25">
        <v>1.93654E+18</v>
      </c>
    </row>
    <row r="83" spans="1:83" x14ac:dyDescent="0.2">
      <c r="A83" s="6" t="s">
        <v>475</v>
      </c>
      <c r="B83" s="24">
        <v>45878.298391203702</v>
      </c>
      <c r="C83" s="6" t="s">
        <v>476</v>
      </c>
      <c r="D83" s="6" t="s">
        <v>220</v>
      </c>
      <c r="E83" s="6">
        <v>7522</v>
      </c>
      <c r="F83" s="6">
        <v>50920.67</v>
      </c>
      <c r="G83" s="6">
        <v>8834</v>
      </c>
      <c r="H83" s="6">
        <v>591</v>
      </c>
      <c r="I83" s="6">
        <v>14.472</v>
      </c>
      <c r="J83" s="6">
        <v>6.7560000000000002</v>
      </c>
      <c r="K83" s="6" t="b">
        <v>1</v>
      </c>
      <c r="L83" s="6">
        <v>162</v>
      </c>
      <c r="M83" s="6">
        <v>127</v>
      </c>
      <c r="N83" s="6"/>
      <c r="O83" s="6">
        <v>1303</v>
      </c>
      <c r="P83" s="6"/>
      <c r="Q83" s="6"/>
      <c r="R83" s="6"/>
      <c r="S83" s="6"/>
      <c r="T83" s="6">
        <v>78.475059999999999</v>
      </c>
      <c r="U83" s="6">
        <v>129</v>
      </c>
      <c r="X83" s="6">
        <v>6.7695656</v>
      </c>
      <c r="Y83" s="6">
        <v>73.717389999999995</v>
      </c>
      <c r="Z83" s="6">
        <v>55.817360000000001</v>
      </c>
      <c r="AA83" s="6">
        <v>220</v>
      </c>
      <c r="AB83" s="6"/>
      <c r="AC83" s="6"/>
      <c r="AD83" s="6"/>
      <c r="AE83" s="6" t="b">
        <v>0</v>
      </c>
      <c r="AF83" s="6" t="b">
        <v>0</v>
      </c>
      <c r="AH83" s="6">
        <v>257</v>
      </c>
      <c r="AK83" s="6"/>
      <c r="AL83" s="6"/>
      <c r="AM83" s="6">
        <v>129</v>
      </c>
      <c r="AN83" s="6"/>
      <c r="AO83" s="6">
        <v>52</v>
      </c>
      <c r="AP83" s="6">
        <v>155</v>
      </c>
      <c r="AQ83" s="6">
        <v>124</v>
      </c>
      <c r="AR83" s="6">
        <v>138</v>
      </c>
      <c r="AS83" s="6">
        <v>144</v>
      </c>
      <c r="AT83" s="6">
        <v>154</v>
      </c>
      <c r="AU83" s="6">
        <v>158</v>
      </c>
      <c r="AV83" s="6">
        <v>163</v>
      </c>
      <c r="AW83" s="6">
        <v>190</v>
      </c>
      <c r="AX83" s="6">
        <v>3231</v>
      </c>
      <c r="AY83" s="6">
        <v>861</v>
      </c>
      <c r="AZ83" s="6">
        <v>424</v>
      </c>
      <c r="BA83" s="6">
        <v>1975</v>
      </c>
      <c r="BB83" s="6">
        <v>824</v>
      </c>
      <c r="BC83" s="6">
        <v>223</v>
      </c>
      <c r="BD83" s="6">
        <v>0</v>
      </c>
      <c r="BE83" s="6"/>
      <c r="BF83" s="6"/>
      <c r="BG83" s="6"/>
      <c r="BH83" s="6"/>
      <c r="BI83" s="6"/>
      <c r="BJ83" s="6"/>
      <c r="BK83" s="6"/>
      <c r="BL83" s="6"/>
      <c r="BM83" s="6">
        <v>90</v>
      </c>
      <c r="BN83" s="6" t="b">
        <v>0</v>
      </c>
      <c r="BO83" s="6" t="b">
        <v>0</v>
      </c>
      <c r="BP83" s="6" t="b">
        <v>0</v>
      </c>
      <c r="BQ83" s="6">
        <v>7541</v>
      </c>
      <c r="BR83" s="6">
        <v>1200</v>
      </c>
      <c r="BS83" s="6">
        <v>600</v>
      </c>
      <c r="BW83" s="6"/>
      <c r="BX83" s="6"/>
      <c r="BY83" s="6"/>
      <c r="BZ83" s="6"/>
      <c r="CA83" s="6" t="s">
        <v>477</v>
      </c>
      <c r="CB83" s="6" t="s">
        <v>478</v>
      </c>
      <c r="CD83" s="6" t="s">
        <v>196</v>
      </c>
      <c r="CE83" s="25">
        <v>20004039430</v>
      </c>
    </row>
    <row r="84" spans="1:83" x14ac:dyDescent="0.2">
      <c r="A84" s="6" t="s">
        <v>479</v>
      </c>
      <c r="B84" s="24">
        <v>45876.415891203702</v>
      </c>
      <c r="C84" s="6" t="s">
        <v>394</v>
      </c>
      <c r="D84" s="6" t="s">
        <v>208</v>
      </c>
      <c r="E84" s="6">
        <v>3608</v>
      </c>
      <c r="F84" s="6">
        <v>18070.240000000002</v>
      </c>
      <c r="G84" s="6">
        <v>3610</v>
      </c>
      <c r="H84" s="6">
        <v>152</v>
      </c>
      <c r="I84" s="6">
        <v>18.001000000000001</v>
      </c>
      <c r="J84" s="6">
        <v>5.0039999999999996</v>
      </c>
      <c r="K84" s="6" t="b">
        <v>1</v>
      </c>
      <c r="L84" s="6">
        <v>122</v>
      </c>
      <c r="M84" s="6">
        <v>106</v>
      </c>
      <c r="N84" s="6">
        <v>78.670739999999995</v>
      </c>
      <c r="O84" s="6">
        <v>290</v>
      </c>
      <c r="P84" s="6" t="b">
        <v>1</v>
      </c>
      <c r="Q84" s="6">
        <v>84</v>
      </c>
      <c r="R84" s="6">
        <v>84</v>
      </c>
      <c r="S84" s="6">
        <v>303883</v>
      </c>
      <c r="T84" s="6">
        <v>32.684826000000001</v>
      </c>
      <c r="U84" s="6">
        <v>11</v>
      </c>
      <c r="X84" s="6">
        <v>5.0083814000000002</v>
      </c>
      <c r="Y84" s="6">
        <v>72.233140000000006</v>
      </c>
      <c r="Z84" s="6">
        <v>54.936962000000001</v>
      </c>
      <c r="AA84" s="6">
        <v>220</v>
      </c>
      <c r="AB84" s="6">
        <v>1</v>
      </c>
      <c r="AC84" s="6">
        <v>0.79245279999999996</v>
      </c>
      <c r="AD84" s="6" t="b">
        <v>1</v>
      </c>
      <c r="AE84" s="6" t="b">
        <v>0</v>
      </c>
      <c r="AF84" s="6" t="b">
        <v>0</v>
      </c>
      <c r="AH84" s="6">
        <v>257</v>
      </c>
      <c r="AK84" s="6"/>
      <c r="AL84" s="6">
        <v>11</v>
      </c>
      <c r="AM84" s="6">
        <v>27</v>
      </c>
      <c r="AN84" s="6"/>
      <c r="AO84" s="6">
        <v>52</v>
      </c>
      <c r="AP84" s="6">
        <v>155</v>
      </c>
      <c r="AQ84" s="6">
        <v>124</v>
      </c>
      <c r="AR84" s="6">
        <v>138</v>
      </c>
      <c r="AS84" s="6">
        <v>144</v>
      </c>
      <c r="AT84" s="6">
        <v>154</v>
      </c>
      <c r="AU84" s="6">
        <v>158</v>
      </c>
      <c r="AV84" s="6">
        <v>163</v>
      </c>
      <c r="AW84" s="6">
        <v>190</v>
      </c>
      <c r="AX84" s="6">
        <v>3608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>
        <v>3608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v>90</v>
      </c>
      <c r="BN84" s="6" t="b">
        <v>0</v>
      </c>
      <c r="BO84" s="6" t="b">
        <v>0</v>
      </c>
      <c r="BP84" s="6" t="b">
        <v>0</v>
      </c>
      <c r="BQ84" s="6">
        <v>3609</v>
      </c>
      <c r="BR84" s="6">
        <v>1200</v>
      </c>
      <c r="BS84" s="6">
        <v>600</v>
      </c>
      <c r="BW84" s="6">
        <v>83</v>
      </c>
      <c r="BX84" s="6">
        <v>82</v>
      </c>
      <c r="BY84" s="6">
        <v>6245</v>
      </c>
      <c r="BZ84" s="6">
        <v>123</v>
      </c>
      <c r="CA84" s="6" t="s">
        <v>480</v>
      </c>
      <c r="CB84" s="6" t="s">
        <v>478</v>
      </c>
      <c r="CD84" s="6" t="s">
        <v>196</v>
      </c>
      <c r="CE84" s="25">
        <v>1.93503E+18</v>
      </c>
    </row>
    <row r="85" spans="1:83" x14ac:dyDescent="0.2">
      <c r="A85" s="6" t="s">
        <v>481</v>
      </c>
      <c r="B85" s="24">
        <v>45876.302291666667</v>
      </c>
      <c r="C85" s="6" t="s">
        <v>482</v>
      </c>
      <c r="D85" s="6" t="s">
        <v>199</v>
      </c>
      <c r="E85" s="6">
        <v>3091</v>
      </c>
      <c r="F85" s="6">
        <v>6060.65</v>
      </c>
      <c r="G85" s="6">
        <v>3196</v>
      </c>
      <c r="H85" s="6">
        <v>409</v>
      </c>
      <c r="I85" s="6">
        <v>2.641</v>
      </c>
      <c r="J85" s="6">
        <v>1.9590000000000001</v>
      </c>
      <c r="K85" s="6" t="b">
        <v>1</v>
      </c>
      <c r="L85" s="6">
        <v>159</v>
      </c>
      <c r="M85" s="6">
        <v>117</v>
      </c>
      <c r="N85" s="6">
        <v>74.987909999999999</v>
      </c>
      <c r="O85" s="6">
        <v>450</v>
      </c>
      <c r="P85" s="6"/>
      <c r="Q85" s="6"/>
      <c r="R85" s="6"/>
      <c r="S85" s="6"/>
      <c r="T85" s="6">
        <v>56.995342000000001</v>
      </c>
      <c r="U85" s="6">
        <v>28</v>
      </c>
      <c r="X85" s="6">
        <v>1.9607408</v>
      </c>
      <c r="Y85" s="6">
        <v>72.233140000000006</v>
      </c>
      <c r="Z85" s="6">
        <v>54.936962000000001</v>
      </c>
      <c r="AA85" s="6"/>
      <c r="AB85" s="6"/>
      <c r="AC85" s="6"/>
      <c r="AD85" s="6"/>
      <c r="AE85" s="6" t="b">
        <v>0</v>
      </c>
      <c r="AF85" s="6" t="b">
        <v>0</v>
      </c>
      <c r="AH85" s="6">
        <v>200</v>
      </c>
      <c r="AK85" s="6">
        <v>2.2222222999999999</v>
      </c>
      <c r="AL85" s="6"/>
      <c r="AM85" s="6">
        <v>28</v>
      </c>
      <c r="AN85" s="6">
        <v>116</v>
      </c>
      <c r="AO85" s="6">
        <v>52</v>
      </c>
      <c r="AP85" s="6">
        <v>163</v>
      </c>
      <c r="AQ85" s="6">
        <v>137</v>
      </c>
      <c r="AR85" s="6">
        <v>145</v>
      </c>
      <c r="AS85" s="6">
        <v>153</v>
      </c>
      <c r="AT85" s="6">
        <v>162</v>
      </c>
      <c r="AU85" s="6">
        <v>166</v>
      </c>
      <c r="AV85" s="6">
        <v>171</v>
      </c>
      <c r="AW85" s="6">
        <v>175</v>
      </c>
      <c r="AX85" s="6">
        <v>2895</v>
      </c>
      <c r="AY85" s="6">
        <v>33</v>
      </c>
      <c r="AZ85" s="6">
        <v>84</v>
      </c>
      <c r="BA85" s="6">
        <v>82</v>
      </c>
      <c r="BB85" s="6">
        <v>0</v>
      </c>
      <c r="BC85" s="6">
        <v>0</v>
      </c>
      <c r="BD85" s="6">
        <v>0</v>
      </c>
      <c r="BE85" s="6"/>
      <c r="BF85" s="6"/>
      <c r="BG85" s="6"/>
      <c r="BH85" s="6"/>
      <c r="BI85" s="6"/>
      <c r="BJ85" s="6"/>
      <c r="BK85" s="6"/>
      <c r="BL85" s="6"/>
      <c r="BM85" s="6">
        <v>90</v>
      </c>
      <c r="BN85" s="6" t="b">
        <v>0</v>
      </c>
      <c r="BO85" s="6" t="b">
        <v>0</v>
      </c>
      <c r="BP85" s="6" t="b">
        <v>0</v>
      </c>
      <c r="BQ85" s="6">
        <v>3103</v>
      </c>
      <c r="BR85" s="6">
        <v>300</v>
      </c>
      <c r="BS85" s="6">
        <v>300</v>
      </c>
      <c r="BW85" s="6"/>
      <c r="BX85" s="6"/>
      <c r="BY85" s="6"/>
      <c r="BZ85" s="6"/>
      <c r="CA85" s="6" t="s">
        <v>483</v>
      </c>
      <c r="CB85" s="6" t="s">
        <v>354</v>
      </c>
      <c r="CD85" s="6" t="s">
        <v>196</v>
      </c>
      <c r="CE85" s="25">
        <v>19982424016</v>
      </c>
    </row>
    <row r="86" spans="1:83" x14ac:dyDescent="0.2">
      <c r="A86" s="6" t="s">
        <v>484</v>
      </c>
      <c r="B86" s="24">
        <v>45875.425219907411</v>
      </c>
      <c r="C86" s="6" t="s">
        <v>485</v>
      </c>
      <c r="D86" s="6" t="s">
        <v>208</v>
      </c>
      <c r="E86" s="6">
        <v>2411</v>
      </c>
      <c r="F86" s="6">
        <v>12221.56</v>
      </c>
      <c r="G86" s="6">
        <v>2418</v>
      </c>
      <c r="H86" s="6">
        <v>87</v>
      </c>
      <c r="I86" s="6">
        <v>17.161999999999999</v>
      </c>
      <c r="J86" s="6">
        <v>5.056</v>
      </c>
      <c r="K86" s="6" t="b">
        <v>1</v>
      </c>
      <c r="L86" s="6">
        <v>119</v>
      </c>
      <c r="M86" s="6">
        <v>104</v>
      </c>
      <c r="N86" s="6">
        <v>73.002499999999998</v>
      </c>
      <c r="O86" s="6">
        <v>172</v>
      </c>
      <c r="P86" s="6" t="b">
        <v>1</v>
      </c>
      <c r="Q86" s="6">
        <v>75</v>
      </c>
      <c r="R86" s="6">
        <v>76</v>
      </c>
      <c r="S86" s="6">
        <v>180435</v>
      </c>
      <c r="T86" s="6">
        <v>29.571985000000002</v>
      </c>
      <c r="U86" s="6">
        <v>6</v>
      </c>
      <c r="X86" s="6">
        <v>5.069083</v>
      </c>
      <c r="Y86" s="6">
        <v>77.336585999999997</v>
      </c>
      <c r="Z86" s="6">
        <v>55.320970000000003</v>
      </c>
      <c r="AA86" s="6">
        <v>220</v>
      </c>
      <c r="AB86" s="6">
        <v>1.0133333</v>
      </c>
      <c r="AC86" s="6">
        <v>0.73076920000000001</v>
      </c>
      <c r="AD86" s="6" t="b">
        <v>1</v>
      </c>
      <c r="AE86" s="6" t="b">
        <v>0</v>
      </c>
      <c r="AF86" s="6" t="b">
        <v>0</v>
      </c>
      <c r="AH86" s="6">
        <v>257</v>
      </c>
      <c r="AL86" s="6">
        <v>6</v>
      </c>
      <c r="AM86" s="6">
        <v>17</v>
      </c>
      <c r="AO86" s="6">
        <v>52</v>
      </c>
      <c r="AP86" s="6">
        <v>155</v>
      </c>
      <c r="AQ86" s="6">
        <v>124</v>
      </c>
      <c r="AR86" s="6">
        <v>138</v>
      </c>
      <c r="AS86" s="6">
        <v>144</v>
      </c>
      <c r="AT86" s="6">
        <v>154</v>
      </c>
      <c r="AU86" s="6">
        <v>158</v>
      </c>
      <c r="AV86" s="6">
        <v>163</v>
      </c>
      <c r="AW86" s="6">
        <v>190</v>
      </c>
      <c r="AX86" s="6">
        <v>2411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>
        <v>2411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v>90</v>
      </c>
      <c r="BN86" s="6" t="b">
        <v>0</v>
      </c>
      <c r="BO86" s="6" t="b">
        <v>0</v>
      </c>
      <c r="BP86" s="6" t="b">
        <v>0</v>
      </c>
      <c r="BQ86" s="6">
        <v>2417</v>
      </c>
      <c r="BR86" s="6">
        <v>0</v>
      </c>
      <c r="BS86" s="6">
        <v>0</v>
      </c>
      <c r="BW86" s="6">
        <v>77</v>
      </c>
      <c r="BX86" s="6">
        <v>76</v>
      </c>
      <c r="BY86" s="6">
        <v>5831</v>
      </c>
      <c r="BZ86" s="6">
        <v>111</v>
      </c>
      <c r="CA86" s="6" t="s">
        <v>486</v>
      </c>
      <c r="CB86" s="6" t="s">
        <v>478</v>
      </c>
      <c r="CD86" s="6" t="s">
        <v>196</v>
      </c>
      <c r="CE86" s="25">
        <v>1.93431E+18</v>
      </c>
    </row>
    <row r="87" spans="1:83" x14ac:dyDescent="0.2">
      <c r="A87" s="6" t="s">
        <v>487</v>
      </c>
      <c r="B87" s="24">
        <v>45875.218877314815</v>
      </c>
      <c r="C87" s="6" t="s">
        <v>427</v>
      </c>
      <c r="D87" s="6" t="s">
        <v>193</v>
      </c>
      <c r="E87" s="6">
        <v>15283</v>
      </c>
      <c r="F87" s="6">
        <v>67265.89</v>
      </c>
      <c r="G87" s="6">
        <v>15511</v>
      </c>
      <c r="H87" s="6">
        <v>785</v>
      </c>
      <c r="I87" s="6">
        <v>12.651999999999999</v>
      </c>
      <c r="J87" s="6">
        <v>4.3979999999999997</v>
      </c>
      <c r="K87" s="6" t="b">
        <v>1</v>
      </c>
      <c r="L87" s="6">
        <v>147</v>
      </c>
      <c r="M87" s="6">
        <v>121</v>
      </c>
      <c r="N87" s="6"/>
      <c r="O87" s="6">
        <v>1925</v>
      </c>
      <c r="P87" s="6"/>
      <c r="Q87" s="6"/>
      <c r="R87" s="6"/>
      <c r="S87" s="6"/>
      <c r="T87" s="6">
        <v>63.88308</v>
      </c>
      <c r="U87" s="6">
        <v>174</v>
      </c>
      <c r="X87" s="6">
        <v>4.4013540000000004</v>
      </c>
      <c r="Y87" s="6">
        <v>77.336585999999997</v>
      </c>
      <c r="Z87" s="6">
        <v>55.320970000000003</v>
      </c>
      <c r="AA87" s="6">
        <v>220</v>
      </c>
      <c r="AB87" s="6"/>
      <c r="AC87" s="6"/>
      <c r="AD87" s="6"/>
      <c r="AE87" s="6" t="b">
        <v>0</v>
      </c>
      <c r="AF87" s="6" t="b">
        <v>0</v>
      </c>
      <c r="AH87" s="6">
        <v>257</v>
      </c>
      <c r="AK87" s="6"/>
      <c r="AL87" s="6"/>
      <c r="AM87" s="6">
        <v>174</v>
      </c>
      <c r="AN87" s="6"/>
      <c r="AO87" s="6">
        <v>52</v>
      </c>
      <c r="AP87" s="6">
        <v>155</v>
      </c>
      <c r="AQ87" s="6">
        <v>124</v>
      </c>
      <c r="AR87" s="6">
        <v>138</v>
      </c>
      <c r="AS87" s="6">
        <v>144</v>
      </c>
      <c r="AT87" s="6">
        <v>154</v>
      </c>
      <c r="AU87" s="6">
        <v>158</v>
      </c>
      <c r="AV87" s="6">
        <v>163</v>
      </c>
      <c r="AW87" s="6">
        <v>190</v>
      </c>
      <c r="AX87" s="6">
        <v>9885</v>
      </c>
      <c r="AY87" s="6">
        <v>4911</v>
      </c>
      <c r="AZ87" s="6">
        <v>448</v>
      </c>
      <c r="BA87" s="6">
        <v>50</v>
      </c>
      <c r="BB87" s="6">
        <v>0</v>
      </c>
      <c r="BC87" s="6">
        <v>0</v>
      </c>
      <c r="BD87" s="6">
        <v>0</v>
      </c>
      <c r="BE87" s="6"/>
      <c r="BF87" s="6"/>
      <c r="BG87" s="6"/>
      <c r="BH87" s="6"/>
      <c r="BI87" s="6"/>
      <c r="BJ87" s="6"/>
      <c r="BK87" s="6"/>
      <c r="BL87" s="6"/>
      <c r="BM87" s="6">
        <v>90</v>
      </c>
      <c r="BN87" s="6" t="b">
        <v>0</v>
      </c>
      <c r="BO87" s="6" t="b">
        <v>0</v>
      </c>
      <c r="BP87" s="6" t="b">
        <v>0</v>
      </c>
      <c r="BQ87" s="6">
        <v>15349</v>
      </c>
      <c r="BR87" s="6">
        <v>1200</v>
      </c>
      <c r="BS87" s="6">
        <v>600</v>
      </c>
      <c r="BT87" s="6"/>
      <c r="BU87" s="6"/>
      <c r="BW87" s="6"/>
      <c r="BX87" s="6"/>
      <c r="BY87" s="6"/>
      <c r="BZ87" s="6"/>
      <c r="CA87" s="6" t="s">
        <v>488</v>
      </c>
      <c r="CB87" s="6" t="s">
        <v>489</v>
      </c>
      <c r="CD87" s="6" t="s">
        <v>196</v>
      </c>
      <c r="CE87" s="25">
        <v>19971389985</v>
      </c>
    </row>
    <row r="88" spans="1:83" x14ac:dyDescent="0.2">
      <c r="A88" s="6" t="s">
        <v>490</v>
      </c>
      <c r="B88" s="24">
        <v>45874.322905092595</v>
      </c>
      <c r="C88" s="6" t="s">
        <v>391</v>
      </c>
      <c r="D88" s="6" t="s">
        <v>208</v>
      </c>
      <c r="E88" s="6">
        <v>2403</v>
      </c>
      <c r="F88" s="6">
        <v>14887.53</v>
      </c>
      <c r="G88" s="6">
        <v>2405</v>
      </c>
      <c r="H88" s="6">
        <v>73</v>
      </c>
      <c r="I88" s="6">
        <v>12.385</v>
      </c>
      <c r="J88" s="6">
        <v>6.1870000000000003</v>
      </c>
      <c r="K88" s="6" t="b">
        <v>1</v>
      </c>
      <c r="L88" s="6">
        <v>124</v>
      </c>
      <c r="M88" s="6">
        <v>108</v>
      </c>
      <c r="N88" s="6">
        <v>79.481219999999993</v>
      </c>
      <c r="O88" s="6">
        <v>204</v>
      </c>
      <c r="P88" s="6" t="b">
        <v>1</v>
      </c>
      <c r="Q88" s="6">
        <v>89</v>
      </c>
      <c r="R88" s="6">
        <v>89</v>
      </c>
      <c r="S88" s="6">
        <v>214113</v>
      </c>
      <c r="T88" s="6">
        <v>34.630352000000002</v>
      </c>
      <c r="U88" s="6">
        <v>8</v>
      </c>
      <c r="X88" s="6">
        <v>6.1953936000000001</v>
      </c>
      <c r="Y88" s="6">
        <v>61.571083000000002</v>
      </c>
      <c r="Z88" s="6">
        <v>52.316800000000001</v>
      </c>
      <c r="AA88" s="6">
        <v>220</v>
      </c>
      <c r="AB88" s="6">
        <v>1</v>
      </c>
      <c r="AC88" s="6">
        <v>0.82407410000000003</v>
      </c>
      <c r="AD88" s="6" t="b">
        <v>1</v>
      </c>
      <c r="AE88" s="6" t="b">
        <v>0</v>
      </c>
      <c r="AF88" s="6" t="b">
        <v>0</v>
      </c>
      <c r="AH88" s="6">
        <v>257</v>
      </c>
      <c r="AK88" s="6"/>
      <c r="AL88" s="6">
        <v>8</v>
      </c>
      <c r="AM88" s="6">
        <v>19</v>
      </c>
      <c r="AN88" s="6"/>
      <c r="AO88" s="6">
        <v>52</v>
      </c>
      <c r="AP88" s="6">
        <v>155</v>
      </c>
      <c r="AQ88" s="6">
        <v>124</v>
      </c>
      <c r="AR88" s="6">
        <v>138</v>
      </c>
      <c r="AS88" s="6">
        <v>144</v>
      </c>
      <c r="AT88" s="6">
        <v>154</v>
      </c>
      <c r="AU88" s="6">
        <v>158</v>
      </c>
      <c r="AV88" s="6">
        <v>163</v>
      </c>
      <c r="AW88" s="6">
        <v>190</v>
      </c>
      <c r="AX88" s="6">
        <v>2403</v>
      </c>
      <c r="AY88" s="6">
        <v>0</v>
      </c>
      <c r="AZ88" s="6">
        <v>0</v>
      </c>
      <c r="BA88" s="6">
        <v>0</v>
      </c>
      <c r="BB88" s="6">
        <v>0</v>
      </c>
      <c r="BC88" s="6">
        <v>0</v>
      </c>
      <c r="BD88" s="6">
        <v>0</v>
      </c>
      <c r="BE88" s="6">
        <v>2403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90</v>
      </c>
      <c r="BN88" s="6" t="b">
        <v>0</v>
      </c>
      <c r="BO88" s="6" t="b">
        <v>0</v>
      </c>
      <c r="BP88" s="6" t="b">
        <v>0</v>
      </c>
      <c r="BQ88" s="6">
        <v>2404</v>
      </c>
      <c r="BR88" s="6">
        <v>0</v>
      </c>
      <c r="BS88" s="6">
        <v>0</v>
      </c>
      <c r="BT88" s="6"/>
      <c r="BU88" s="6"/>
      <c r="BW88" s="6">
        <v>87</v>
      </c>
      <c r="BX88" s="6">
        <v>86</v>
      </c>
      <c r="BY88" s="6">
        <v>6574</v>
      </c>
      <c r="BZ88" s="6">
        <v>136</v>
      </c>
      <c r="CA88" s="6" t="s">
        <v>491</v>
      </c>
      <c r="CB88" s="6" t="s">
        <v>489</v>
      </c>
      <c r="CD88" s="6" t="s">
        <v>196</v>
      </c>
      <c r="CE88" s="25">
        <v>1.93351E+18</v>
      </c>
    </row>
    <row r="89" spans="1:83" x14ac:dyDescent="0.2">
      <c r="A89" s="6" t="s">
        <v>492</v>
      </c>
      <c r="B89" s="24">
        <v>45874.273043981484</v>
      </c>
      <c r="C89" s="6" t="s">
        <v>493</v>
      </c>
      <c r="D89" s="6" t="s">
        <v>199</v>
      </c>
      <c r="E89" s="6">
        <v>2390</v>
      </c>
      <c r="F89" s="6">
        <v>5569.03</v>
      </c>
      <c r="G89" s="6">
        <v>2394</v>
      </c>
      <c r="H89" s="6">
        <v>104</v>
      </c>
      <c r="I89" s="6">
        <v>3.6949999999999998</v>
      </c>
      <c r="J89" s="6">
        <v>2.3260000000000001</v>
      </c>
      <c r="K89" s="6" t="b">
        <v>1</v>
      </c>
      <c r="L89" s="6">
        <v>163</v>
      </c>
      <c r="M89" s="6">
        <v>137</v>
      </c>
      <c r="N89" s="6">
        <v>81.288120000000006</v>
      </c>
      <c r="O89" s="6">
        <v>479</v>
      </c>
      <c r="P89" s="6"/>
      <c r="Q89" s="6"/>
      <c r="R89" s="6"/>
      <c r="S89" s="6"/>
      <c r="T89" s="6">
        <v>73.592094000000003</v>
      </c>
      <c r="U89" s="6">
        <v>36</v>
      </c>
      <c r="X89" s="6">
        <v>2.3301379999999998</v>
      </c>
      <c r="Y89" s="6">
        <v>61.571083000000002</v>
      </c>
      <c r="Z89" s="6">
        <v>52.316800000000001</v>
      </c>
      <c r="AA89" s="6"/>
      <c r="AB89" s="6"/>
      <c r="AC89" s="6"/>
      <c r="AD89" s="6"/>
      <c r="AE89" s="6" t="b">
        <v>0</v>
      </c>
      <c r="AF89" s="6" t="b">
        <v>0</v>
      </c>
      <c r="AH89" s="6">
        <v>200</v>
      </c>
      <c r="AK89" s="6">
        <v>2.2222222999999999</v>
      </c>
      <c r="AL89" s="6"/>
      <c r="AM89" s="6">
        <v>36</v>
      </c>
      <c r="AN89" s="6">
        <v>77</v>
      </c>
      <c r="AO89" s="6">
        <v>52</v>
      </c>
      <c r="AP89" s="6">
        <v>163</v>
      </c>
      <c r="AQ89" s="6">
        <v>137</v>
      </c>
      <c r="AR89" s="6">
        <v>145</v>
      </c>
      <c r="AS89" s="6">
        <v>153</v>
      </c>
      <c r="AT89" s="6">
        <v>162</v>
      </c>
      <c r="AU89" s="6">
        <v>166</v>
      </c>
      <c r="AV89" s="6">
        <v>171</v>
      </c>
      <c r="AW89" s="6">
        <v>175</v>
      </c>
      <c r="AX89" s="6">
        <v>1304</v>
      </c>
      <c r="AY89" s="6">
        <v>312</v>
      </c>
      <c r="AZ89" s="6">
        <v>513</v>
      </c>
      <c r="BA89" s="6">
        <v>253</v>
      </c>
      <c r="BB89" s="6">
        <v>10</v>
      </c>
      <c r="BC89" s="6">
        <v>0</v>
      </c>
      <c r="BD89" s="6">
        <v>0</v>
      </c>
      <c r="BE89" s="6"/>
      <c r="BF89" s="6"/>
      <c r="BG89" s="6"/>
      <c r="BH89" s="6"/>
      <c r="BI89" s="6"/>
      <c r="BJ89" s="6"/>
      <c r="BK89" s="6"/>
      <c r="BL89" s="6"/>
      <c r="BM89" s="6">
        <v>90</v>
      </c>
      <c r="BN89" s="6" t="b">
        <v>0</v>
      </c>
      <c r="BO89" s="6" t="b">
        <v>0</v>
      </c>
      <c r="BP89" s="6" t="b">
        <v>0</v>
      </c>
      <c r="BQ89" s="6">
        <v>2393</v>
      </c>
      <c r="BR89" s="6">
        <v>300</v>
      </c>
      <c r="BS89" s="6">
        <v>300</v>
      </c>
      <c r="BT89" s="6">
        <v>19</v>
      </c>
      <c r="BU89" s="6">
        <v>163</v>
      </c>
      <c r="BW89" s="6"/>
      <c r="BX89" s="6"/>
      <c r="BY89" s="6"/>
      <c r="BZ89" s="6"/>
      <c r="CA89" s="6" t="s">
        <v>494</v>
      </c>
      <c r="CB89" s="6" t="s">
        <v>495</v>
      </c>
      <c r="CD89" s="6" t="s">
        <v>196</v>
      </c>
      <c r="CE89" s="25">
        <v>19958813544</v>
      </c>
    </row>
    <row r="90" spans="1:83" x14ac:dyDescent="0.2">
      <c r="A90" s="6" t="s">
        <v>496</v>
      </c>
      <c r="B90" s="24">
        <v>45872.847557870373</v>
      </c>
      <c r="C90" s="6" t="s">
        <v>497</v>
      </c>
      <c r="D90" s="6" t="s">
        <v>208</v>
      </c>
      <c r="E90" s="6">
        <v>1754</v>
      </c>
      <c r="F90" s="6">
        <v>10596.15</v>
      </c>
      <c r="G90" s="6">
        <v>1754</v>
      </c>
      <c r="H90" s="6">
        <v>37</v>
      </c>
      <c r="I90" s="6">
        <v>11.907</v>
      </c>
      <c r="J90" s="6">
        <v>6.0369999999999999</v>
      </c>
      <c r="K90" s="6" t="b">
        <v>1</v>
      </c>
      <c r="L90" s="6">
        <v>121</v>
      </c>
      <c r="M90" s="6">
        <v>109</v>
      </c>
      <c r="N90" s="6">
        <v>83.610245000000006</v>
      </c>
      <c r="O90" s="6">
        <v>148</v>
      </c>
      <c r="P90" s="6" t="b">
        <v>1</v>
      </c>
      <c r="Q90" s="6">
        <v>89</v>
      </c>
      <c r="R90" s="6">
        <v>89</v>
      </c>
      <c r="S90" s="6">
        <v>155217</v>
      </c>
      <c r="T90" s="6">
        <v>34.630352000000002</v>
      </c>
      <c r="U90" s="6">
        <v>6</v>
      </c>
      <c r="X90" s="6">
        <v>6.0411349999999997</v>
      </c>
      <c r="Y90" s="6">
        <v>74.138915999999995</v>
      </c>
      <c r="Z90" s="6">
        <v>53.782608000000003</v>
      </c>
      <c r="AA90" s="6">
        <v>220</v>
      </c>
      <c r="AB90" s="6">
        <v>1</v>
      </c>
      <c r="AC90" s="6">
        <v>0.81651379999999996</v>
      </c>
      <c r="AD90" s="6" t="b">
        <v>1</v>
      </c>
      <c r="AE90" s="6" t="b">
        <v>0</v>
      </c>
      <c r="AF90" s="6" t="b">
        <v>0</v>
      </c>
      <c r="AH90" s="6">
        <v>257</v>
      </c>
      <c r="AK90" s="6"/>
      <c r="AL90" s="6">
        <v>6</v>
      </c>
      <c r="AM90" s="6">
        <v>14</v>
      </c>
      <c r="AN90" s="6"/>
      <c r="AO90" s="6">
        <v>52</v>
      </c>
      <c r="AP90" s="6">
        <v>155</v>
      </c>
      <c r="AQ90" s="6">
        <v>124</v>
      </c>
      <c r="AR90" s="6">
        <v>138</v>
      </c>
      <c r="AS90" s="6">
        <v>144</v>
      </c>
      <c r="AT90" s="6">
        <v>154</v>
      </c>
      <c r="AU90" s="6">
        <v>158</v>
      </c>
      <c r="AV90" s="6">
        <v>163</v>
      </c>
      <c r="AW90" s="6">
        <v>190</v>
      </c>
      <c r="AX90" s="6">
        <v>1754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>
        <v>1754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90</v>
      </c>
      <c r="BN90" s="6" t="b">
        <v>0</v>
      </c>
      <c r="BO90" s="6" t="b">
        <v>0</v>
      </c>
      <c r="BP90" s="6" t="b">
        <v>0</v>
      </c>
      <c r="BQ90" s="6">
        <v>1753</v>
      </c>
      <c r="BR90" s="6">
        <v>0</v>
      </c>
      <c r="BS90" s="6">
        <v>0</v>
      </c>
      <c r="BT90" s="6"/>
      <c r="BU90" s="6"/>
      <c r="BW90" s="6">
        <v>86</v>
      </c>
      <c r="BX90" s="6">
        <v>85</v>
      </c>
      <c r="BY90" s="6">
        <v>6490</v>
      </c>
      <c r="BZ90" s="6">
        <v>138</v>
      </c>
      <c r="CA90" s="6" t="s">
        <v>498</v>
      </c>
      <c r="CB90" s="6" t="s">
        <v>489</v>
      </c>
      <c r="CD90" s="6" t="s">
        <v>196</v>
      </c>
      <c r="CE90" s="25">
        <v>1.93244E+18</v>
      </c>
    </row>
    <row r="91" spans="1:83" x14ac:dyDescent="0.2">
      <c r="A91" s="6" t="s">
        <v>499</v>
      </c>
      <c r="B91" s="24">
        <v>45872.290543981479</v>
      </c>
      <c r="C91" s="6" t="s">
        <v>500</v>
      </c>
      <c r="D91" s="6" t="s">
        <v>220</v>
      </c>
      <c r="E91" s="6">
        <v>15464</v>
      </c>
      <c r="F91" s="6">
        <v>119686.24</v>
      </c>
      <c r="G91" s="6">
        <v>19043</v>
      </c>
      <c r="H91" s="6">
        <v>1197</v>
      </c>
      <c r="I91" s="6">
        <v>19.827999999999999</v>
      </c>
      <c r="J91" s="6">
        <v>7.7270000000000003</v>
      </c>
      <c r="K91" s="6" t="b">
        <v>1</v>
      </c>
      <c r="L91" s="6">
        <v>175</v>
      </c>
      <c r="M91" s="6">
        <v>135</v>
      </c>
      <c r="N91" s="6"/>
      <c r="O91" s="6">
        <v>2934</v>
      </c>
      <c r="P91" s="6"/>
      <c r="Q91" s="6"/>
      <c r="R91" s="6"/>
      <c r="S91" s="6"/>
      <c r="T91" s="6">
        <v>84.989559999999997</v>
      </c>
      <c r="U91" s="6">
        <v>311</v>
      </c>
      <c r="X91" s="6">
        <v>7.7396690000000001</v>
      </c>
      <c r="Y91" s="6">
        <v>74.138915999999995</v>
      </c>
      <c r="Z91" s="6">
        <v>53.782608000000003</v>
      </c>
      <c r="AA91" s="6">
        <v>220</v>
      </c>
      <c r="AB91" s="6"/>
      <c r="AC91" s="6"/>
      <c r="AD91" s="6"/>
      <c r="AE91" s="6" t="b">
        <v>0</v>
      </c>
      <c r="AF91" s="6" t="b">
        <v>0</v>
      </c>
      <c r="AH91" s="6">
        <v>257</v>
      </c>
      <c r="AK91" s="6"/>
      <c r="AL91" s="6"/>
      <c r="AM91" s="6">
        <v>311</v>
      </c>
      <c r="AN91" s="6"/>
      <c r="AO91" s="6">
        <v>52</v>
      </c>
      <c r="AP91" s="6">
        <v>155</v>
      </c>
      <c r="AQ91" s="6">
        <v>124</v>
      </c>
      <c r="AR91" s="6">
        <v>138</v>
      </c>
      <c r="AS91" s="6">
        <v>144</v>
      </c>
      <c r="AT91" s="6">
        <v>154</v>
      </c>
      <c r="AU91" s="6">
        <v>158</v>
      </c>
      <c r="AV91" s="6">
        <v>163</v>
      </c>
      <c r="AW91" s="6">
        <v>190</v>
      </c>
      <c r="AX91" s="6">
        <v>3985</v>
      </c>
      <c r="AY91" s="6">
        <v>3268</v>
      </c>
      <c r="AZ91" s="6">
        <v>1514</v>
      </c>
      <c r="BA91" s="6">
        <v>3609</v>
      </c>
      <c r="BB91" s="6">
        <v>939</v>
      </c>
      <c r="BC91" s="6">
        <v>814</v>
      </c>
      <c r="BD91" s="6">
        <v>1358</v>
      </c>
      <c r="BE91" s="6"/>
      <c r="BF91" s="6"/>
      <c r="BG91" s="6"/>
      <c r="BH91" s="6"/>
      <c r="BI91" s="6"/>
      <c r="BJ91" s="6"/>
      <c r="BK91" s="6"/>
      <c r="BL91" s="6"/>
      <c r="BM91" s="6">
        <v>90</v>
      </c>
      <c r="BN91" s="6" t="b">
        <v>0</v>
      </c>
      <c r="BO91" s="6" t="b">
        <v>0</v>
      </c>
      <c r="BP91" s="6" t="b">
        <v>0</v>
      </c>
      <c r="BQ91" s="6">
        <v>15500</v>
      </c>
      <c r="BR91" s="6">
        <v>1200</v>
      </c>
      <c r="BS91" s="6">
        <v>600</v>
      </c>
      <c r="BT91" s="6">
        <v>30</v>
      </c>
      <c r="BU91" s="6">
        <v>161</v>
      </c>
      <c r="BW91" s="6"/>
      <c r="BX91" s="6"/>
      <c r="BY91" s="6"/>
      <c r="BZ91" s="6"/>
      <c r="CA91" s="6" t="s">
        <v>501</v>
      </c>
      <c r="CB91" s="6" t="s">
        <v>502</v>
      </c>
      <c r="CD91" s="6" t="s">
        <v>196</v>
      </c>
      <c r="CE91" s="6">
        <v>19940109602</v>
      </c>
    </row>
    <row r="92" spans="1:83" x14ac:dyDescent="0.2">
      <c r="A92" s="6" t="s">
        <v>503</v>
      </c>
      <c r="B92" s="24">
        <v>45869.468680555554</v>
      </c>
      <c r="C92" s="6" t="s">
        <v>504</v>
      </c>
      <c r="D92" s="6" t="s">
        <v>199</v>
      </c>
      <c r="E92" s="6">
        <v>3244</v>
      </c>
      <c r="F92" s="6">
        <v>7009.11</v>
      </c>
      <c r="G92" s="6">
        <v>3266</v>
      </c>
      <c r="H92" s="6">
        <v>94</v>
      </c>
      <c r="I92" s="6">
        <v>2.37</v>
      </c>
      <c r="J92" s="6">
        <v>2.1459999999999999</v>
      </c>
      <c r="K92" s="6" t="b">
        <v>1</v>
      </c>
      <c r="L92" s="6">
        <v>135</v>
      </c>
      <c r="M92" s="6">
        <v>129</v>
      </c>
      <c r="N92" s="6">
        <v>80.673559999999995</v>
      </c>
      <c r="O92" s="6">
        <v>617</v>
      </c>
      <c r="P92" s="6"/>
      <c r="Q92" s="6"/>
      <c r="R92" s="6"/>
      <c r="S92" s="6"/>
      <c r="T92" s="6">
        <v>63.872</v>
      </c>
      <c r="U92" s="6">
        <v>37</v>
      </c>
      <c r="X92" s="6">
        <v>2.1606380000000001</v>
      </c>
      <c r="Y92" s="6">
        <v>49.028697999999999</v>
      </c>
      <c r="Z92" s="6">
        <v>49.754035999999999</v>
      </c>
      <c r="AA92" s="6"/>
      <c r="AB92" s="6"/>
      <c r="AC92" s="6"/>
      <c r="AD92" s="6"/>
      <c r="AE92" s="6" t="b">
        <v>0</v>
      </c>
      <c r="AF92" s="6" t="b">
        <v>0</v>
      </c>
      <c r="AH92" s="6">
        <v>200</v>
      </c>
      <c r="AK92" s="6">
        <v>2.2222222999999999</v>
      </c>
      <c r="AL92" s="6"/>
      <c r="AM92" s="6">
        <v>37</v>
      </c>
      <c r="AN92" s="6">
        <v>90</v>
      </c>
      <c r="AO92" s="6">
        <v>52</v>
      </c>
      <c r="AP92" s="6">
        <v>163</v>
      </c>
      <c r="AQ92" s="6">
        <v>137</v>
      </c>
      <c r="AR92" s="6">
        <v>145</v>
      </c>
      <c r="AS92" s="6">
        <v>153</v>
      </c>
      <c r="AT92" s="6">
        <v>162</v>
      </c>
      <c r="AU92" s="6">
        <v>166</v>
      </c>
      <c r="AV92" s="6">
        <v>171</v>
      </c>
      <c r="AW92" s="6">
        <v>175</v>
      </c>
      <c r="AX92" s="6">
        <v>3239</v>
      </c>
      <c r="AY92" s="6">
        <v>0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/>
      <c r="BF92" s="6"/>
      <c r="BG92" s="6"/>
      <c r="BH92" s="6"/>
      <c r="BI92" s="6"/>
      <c r="BJ92" s="6"/>
      <c r="BK92" s="6"/>
      <c r="BL92" s="6"/>
      <c r="BM92" s="6">
        <v>90</v>
      </c>
      <c r="BN92" s="6" t="b">
        <v>0</v>
      </c>
      <c r="BO92" s="6" t="b">
        <v>0</v>
      </c>
      <c r="BP92" s="6" t="b">
        <v>0</v>
      </c>
      <c r="BQ92" s="6">
        <v>3265</v>
      </c>
      <c r="BR92" s="6">
        <v>300</v>
      </c>
      <c r="BS92" s="6">
        <v>300</v>
      </c>
      <c r="BT92" s="6"/>
      <c r="BU92" s="6"/>
      <c r="BW92" s="6"/>
      <c r="BX92" s="6"/>
      <c r="BY92" s="6"/>
      <c r="BZ92" s="6"/>
      <c r="CA92" s="6" t="s">
        <v>505</v>
      </c>
      <c r="CB92" s="6" t="s">
        <v>495</v>
      </c>
      <c r="CD92" s="6" t="s">
        <v>196</v>
      </c>
      <c r="CE92" s="25">
        <v>19909194890</v>
      </c>
    </row>
    <row r="93" spans="1:83" x14ac:dyDescent="0.2">
      <c r="A93" s="6" t="s">
        <v>506</v>
      </c>
      <c r="B93" s="24">
        <v>45867.323125000003</v>
      </c>
      <c r="C93" s="6" t="s">
        <v>507</v>
      </c>
      <c r="D93" s="6" t="s">
        <v>208</v>
      </c>
      <c r="E93" s="6">
        <v>2403</v>
      </c>
      <c r="F93" s="6">
        <v>9681</v>
      </c>
      <c r="G93" s="6">
        <v>2406</v>
      </c>
      <c r="H93" s="6">
        <v>147</v>
      </c>
      <c r="I93" s="6">
        <v>12.144</v>
      </c>
      <c r="J93" s="6">
        <v>4.0220000000000002</v>
      </c>
      <c r="K93" s="6" t="b">
        <v>1</v>
      </c>
      <c r="L93" s="6">
        <v>121</v>
      </c>
      <c r="M93" s="6">
        <v>102</v>
      </c>
      <c r="N93" s="6">
        <v>78.528700000000001</v>
      </c>
      <c r="O93" s="6">
        <v>205</v>
      </c>
      <c r="P93" s="6" t="b">
        <v>1</v>
      </c>
      <c r="Q93" s="6">
        <v>89</v>
      </c>
      <c r="R93" s="6">
        <v>89</v>
      </c>
      <c r="S93" s="6">
        <v>214873</v>
      </c>
      <c r="T93" s="6">
        <v>34.630352000000002</v>
      </c>
      <c r="U93" s="6">
        <v>8</v>
      </c>
      <c r="X93" s="6">
        <v>4.0287139999999999</v>
      </c>
      <c r="Y93" s="6">
        <v>58.688639999999999</v>
      </c>
      <c r="Z93" s="6">
        <v>51.267589999999998</v>
      </c>
      <c r="AA93" s="6">
        <v>221</v>
      </c>
      <c r="AB93" s="6">
        <v>1</v>
      </c>
      <c r="AC93" s="6">
        <v>0.87254900000000002</v>
      </c>
      <c r="AD93" s="6" t="b">
        <v>1</v>
      </c>
      <c r="AE93" s="6" t="b">
        <v>0</v>
      </c>
      <c r="AF93" s="6" t="b">
        <v>0</v>
      </c>
      <c r="AH93" s="6">
        <v>257</v>
      </c>
      <c r="AK93" s="6"/>
      <c r="AL93" s="6">
        <v>8</v>
      </c>
      <c r="AM93" s="6">
        <v>15</v>
      </c>
      <c r="AN93" s="6"/>
      <c r="AO93" s="6">
        <v>52</v>
      </c>
      <c r="AP93" s="6">
        <v>155</v>
      </c>
      <c r="AQ93" s="6">
        <v>124</v>
      </c>
      <c r="AR93" s="6">
        <v>138</v>
      </c>
      <c r="AS93" s="6">
        <v>144</v>
      </c>
      <c r="AT93" s="6">
        <v>154</v>
      </c>
      <c r="AU93" s="6">
        <v>158</v>
      </c>
      <c r="AV93" s="6">
        <v>163</v>
      </c>
      <c r="AW93" s="6">
        <v>190</v>
      </c>
      <c r="AX93" s="6">
        <v>2403</v>
      </c>
      <c r="AY93" s="6">
        <v>0</v>
      </c>
      <c r="AZ93" s="6">
        <v>0</v>
      </c>
      <c r="BA93" s="6">
        <v>0</v>
      </c>
      <c r="BB93" s="6">
        <v>0</v>
      </c>
      <c r="BC93" s="6">
        <v>0</v>
      </c>
      <c r="BD93" s="6">
        <v>0</v>
      </c>
      <c r="BE93" s="6">
        <v>2403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90</v>
      </c>
      <c r="BN93" s="6" t="b">
        <v>0</v>
      </c>
      <c r="BO93" s="6" t="b">
        <v>0</v>
      </c>
      <c r="BP93" s="6" t="b">
        <v>0</v>
      </c>
      <c r="BQ93" s="6">
        <v>2405</v>
      </c>
      <c r="BR93" s="6">
        <v>0</v>
      </c>
      <c r="BS93" s="6">
        <v>0</v>
      </c>
      <c r="BT93" s="6"/>
      <c r="BU93" s="6"/>
      <c r="BW93" s="6">
        <v>87</v>
      </c>
      <c r="BX93" s="6">
        <v>86</v>
      </c>
      <c r="BY93" s="6">
        <v>6574</v>
      </c>
      <c r="BZ93" s="6">
        <v>125</v>
      </c>
      <c r="CA93" s="6" t="s">
        <v>508</v>
      </c>
      <c r="CB93" s="6" t="s">
        <v>502</v>
      </c>
      <c r="CD93" s="6" t="s">
        <v>196</v>
      </c>
      <c r="CE93" s="25">
        <v>1.92844E+18</v>
      </c>
    </row>
    <row r="94" spans="1:83" x14ac:dyDescent="0.2">
      <c r="A94" s="6" t="s">
        <v>509</v>
      </c>
      <c r="B94" s="24">
        <v>45867.258819444447</v>
      </c>
      <c r="C94" s="6" t="s">
        <v>510</v>
      </c>
      <c r="D94" s="6" t="s">
        <v>199</v>
      </c>
      <c r="E94" s="6">
        <v>2291</v>
      </c>
      <c r="F94" s="6">
        <v>5538.87</v>
      </c>
      <c r="G94" s="6">
        <v>2299</v>
      </c>
      <c r="H94" s="6">
        <v>88</v>
      </c>
      <c r="I94" s="6">
        <v>3.536</v>
      </c>
      <c r="J94" s="6">
        <v>2.4169999999999998</v>
      </c>
      <c r="K94" s="6" t="b">
        <v>1</v>
      </c>
      <c r="L94" s="6">
        <v>175</v>
      </c>
      <c r="M94" s="6">
        <v>138</v>
      </c>
      <c r="N94" s="6">
        <v>82.627719999999997</v>
      </c>
      <c r="O94" s="6">
        <v>456</v>
      </c>
      <c r="P94" s="6"/>
      <c r="Q94" s="6"/>
      <c r="R94" s="6"/>
      <c r="S94" s="6"/>
      <c r="T94" s="6">
        <v>75.097849999999994</v>
      </c>
      <c r="U94" s="6">
        <v>36</v>
      </c>
      <c r="X94" s="6">
        <v>2.4176647999999998</v>
      </c>
      <c r="Y94" s="6">
        <v>58.688639999999999</v>
      </c>
      <c r="Z94" s="6">
        <v>51.267589999999998</v>
      </c>
      <c r="AA94" s="6"/>
      <c r="AB94" s="6"/>
      <c r="AC94" s="6"/>
      <c r="AD94" s="6"/>
      <c r="AE94" s="6" t="b">
        <v>0</v>
      </c>
      <c r="AF94" s="6" t="b">
        <v>0</v>
      </c>
      <c r="AH94" s="6">
        <v>200</v>
      </c>
      <c r="AK94" s="6">
        <v>2.2222222999999999</v>
      </c>
      <c r="AL94" s="6"/>
      <c r="AM94" s="6">
        <v>36</v>
      </c>
      <c r="AN94" s="6">
        <v>78</v>
      </c>
      <c r="AO94" s="6">
        <v>52</v>
      </c>
      <c r="AP94" s="6">
        <v>163</v>
      </c>
      <c r="AQ94" s="6">
        <v>137</v>
      </c>
      <c r="AR94" s="6">
        <v>145</v>
      </c>
      <c r="AS94" s="6">
        <v>153</v>
      </c>
      <c r="AT94" s="6">
        <v>162</v>
      </c>
      <c r="AU94" s="6">
        <v>166</v>
      </c>
      <c r="AV94" s="6">
        <v>171</v>
      </c>
      <c r="AW94" s="6">
        <v>175</v>
      </c>
      <c r="AX94" s="6">
        <v>1255</v>
      </c>
      <c r="AY94" s="6">
        <v>269</v>
      </c>
      <c r="AZ94" s="6">
        <v>340</v>
      </c>
      <c r="BA94" s="6">
        <v>292</v>
      </c>
      <c r="BB94" s="6">
        <v>30</v>
      </c>
      <c r="BC94" s="6">
        <v>29</v>
      </c>
      <c r="BD94" s="6">
        <v>79</v>
      </c>
      <c r="BE94" s="6"/>
      <c r="BF94" s="6"/>
      <c r="BG94" s="6"/>
      <c r="BH94" s="6"/>
      <c r="BI94" s="6"/>
      <c r="BJ94" s="6"/>
      <c r="BK94" s="6"/>
      <c r="BL94" s="6"/>
      <c r="BM94" s="6">
        <v>90</v>
      </c>
      <c r="BN94" s="6" t="b">
        <v>0</v>
      </c>
      <c r="BO94" s="6" t="b">
        <v>0</v>
      </c>
      <c r="BP94" s="6" t="b">
        <v>0</v>
      </c>
      <c r="BQ94" s="6">
        <v>2298</v>
      </c>
      <c r="BR94" s="6">
        <v>300</v>
      </c>
      <c r="BS94" s="6">
        <v>300</v>
      </c>
      <c r="BT94" s="6">
        <v>38</v>
      </c>
      <c r="BU94" s="6">
        <v>175</v>
      </c>
      <c r="BW94" s="6"/>
      <c r="BX94" s="6"/>
      <c r="BY94" s="6"/>
      <c r="BZ94" s="6"/>
      <c r="CA94" s="6" t="s">
        <v>511</v>
      </c>
      <c r="CB94" s="6" t="s">
        <v>495</v>
      </c>
      <c r="CD94" s="6" t="s">
        <v>196</v>
      </c>
      <c r="CE94" s="25">
        <v>19884157488</v>
      </c>
    </row>
    <row r="95" spans="1:83" x14ac:dyDescent="0.2">
      <c r="A95" s="6" t="s">
        <v>512</v>
      </c>
      <c r="B95" s="24">
        <v>45865.632118055553</v>
      </c>
      <c r="C95" s="6" t="s">
        <v>507</v>
      </c>
      <c r="D95" s="6" t="s">
        <v>208</v>
      </c>
      <c r="E95" s="6">
        <v>2489</v>
      </c>
      <c r="F95" s="6">
        <v>9807.65</v>
      </c>
      <c r="G95" s="6">
        <v>2492</v>
      </c>
      <c r="H95" s="6">
        <v>155</v>
      </c>
      <c r="I95" s="6">
        <v>11.866</v>
      </c>
      <c r="J95" s="6">
        <v>3.9340000000000002</v>
      </c>
      <c r="K95" s="6" t="b">
        <v>1</v>
      </c>
      <c r="L95" s="6">
        <v>125</v>
      </c>
      <c r="M95" s="6">
        <v>107</v>
      </c>
      <c r="N95" s="6">
        <v>77.364519999999999</v>
      </c>
      <c r="O95" s="6">
        <v>213</v>
      </c>
      <c r="P95" s="6" t="b">
        <v>1</v>
      </c>
      <c r="Q95" s="6">
        <v>90</v>
      </c>
      <c r="R95" s="6">
        <v>91</v>
      </c>
      <c r="S95" s="6">
        <v>223722</v>
      </c>
      <c r="T95" s="6">
        <v>35.408560000000001</v>
      </c>
      <c r="U95" s="6">
        <v>9</v>
      </c>
      <c r="X95" s="6">
        <v>3.9403980000000001</v>
      </c>
      <c r="Y95" s="6">
        <v>70.303214999999994</v>
      </c>
      <c r="Z95" s="6">
        <v>52.682228000000002</v>
      </c>
      <c r="AA95" s="6">
        <v>221</v>
      </c>
      <c r="AB95" s="6">
        <v>1.0111110999999999</v>
      </c>
      <c r="AC95" s="6">
        <v>0.85046725999999995</v>
      </c>
      <c r="AD95" s="6" t="b">
        <v>1</v>
      </c>
      <c r="AE95" s="6" t="b">
        <v>0</v>
      </c>
      <c r="AF95" s="6" t="b">
        <v>0</v>
      </c>
      <c r="AH95" s="6">
        <v>257</v>
      </c>
      <c r="AL95" s="6">
        <v>9</v>
      </c>
      <c r="AM95" s="6">
        <v>19</v>
      </c>
      <c r="AO95" s="6">
        <v>52</v>
      </c>
      <c r="AP95" s="6">
        <v>155</v>
      </c>
      <c r="AQ95" s="6">
        <v>124</v>
      </c>
      <c r="AR95" s="6">
        <v>138</v>
      </c>
      <c r="AS95" s="6">
        <v>144</v>
      </c>
      <c r="AT95" s="6">
        <v>154</v>
      </c>
      <c r="AU95" s="6">
        <v>158</v>
      </c>
      <c r="AV95" s="6">
        <v>163</v>
      </c>
      <c r="AW95" s="6">
        <v>190</v>
      </c>
      <c r="AX95" s="6">
        <v>2483</v>
      </c>
      <c r="AY95" s="6">
        <v>6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>
        <v>2454</v>
      </c>
      <c r="BF95" s="6">
        <v>35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v>90</v>
      </c>
      <c r="BN95" s="6" t="b">
        <v>0</v>
      </c>
      <c r="BO95" s="6" t="b">
        <v>0</v>
      </c>
      <c r="BP95" s="6" t="b">
        <v>0</v>
      </c>
      <c r="BQ95" s="6">
        <v>2491</v>
      </c>
      <c r="BR95" s="6">
        <v>0</v>
      </c>
      <c r="BS95" s="6">
        <v>0</v>
      </c>
      <c r="BT95" s="6"/>
      <c r="BU95" s="6"/>
      <c r="BW95" s="6">
        <v>89</v>
      </c>
      <c r="BX95" s="6">
        <v>88</v>
      </c>
      <c r="BY95" s="6">
        <v>6678</v>
      </c>
      <c r="BZ95" s="6">
        <v>169</v>
      </c>
      <c r="CA95" s="6" t="s">
        <v>513</v>
      </c>
      <c r="CB95" s="6" t="s">
        <v>502</v>
      </c>
      <c r="CD95" s="6" t="s">
        <v>196</v>
      </c>
      <c r="CE95" s="25">
        <v>1.92722E+18</v>
      </c>
    </row>
    <row r="96" spans="1:83" x14ac:dyDescent="0.2">
      <c r="A96" s="6" t="s">
        <v>514</v>
      </c>
      <c r="B96" s="24">
        <v>45865.31454861111</v>
      </c>
      <c r="C96" s="6" t="s">
        <v>515</v>
      </c>
      <c r="D96" s="6" t="s">
        <v>220</v>
      </c>
      <c r="E96" s="6">
        <v>10670</v>
      </c>
      <c r="F96" s="6">
        <v>80564.56</v>
      </c>
      <c r="G96" s="6">
        <v>11962</v>
      </c>
      <c r="H96" s="6">
        <v>565</v>
      </c>
      <c r="I96" s="6">
        <v>14.340999999999999</v>
      </c>
      <c r="J96" s="6">
        <v>7.5410000000000004</v>
      </c>
      <c r="K96" s="6" t="b">
        <v>1</v>
      </c>
      <c r="L96" s="6">
        <v>160</v>
      </c>
      <c r="M96" s="6">
        <v>125</v>
      </c>
      <c r="N96" s="6"/>
      <c r="O96" s="6">
        <v>1753</v>
      </c>
      <c r="P96" s="6"/>
      <c r="Q96" s="6"/>
      <c r="R96" s="6"/>
      <c r="S96" s="6"/>
      <c r="T96" s="6">
        <v>75.241810000000001</v>
      </c>
      <c r="U96" s="6">
        <v>168</v>
      </c>
      <c r="X96" s="6">
        <v>7.5505680000000002</v>
      </c>
      <c r="Y96" s="6">
        <v>70.303214999999994</v>
      </c>
      <c r="Z96" s="6">
        <v>52.682228000000002</v>
      </c>
      <c r="AA96" s="6">
        <v>221</v>
      </c>
      <c r="AB96" s="6"/>
      <c r="AC96" s="6"/>
      <c r="AD96" s="6"/>
      <c r="AE96" s="6" t="b">
        <v>0</v>
      </c>
      <c r="AF96" s="6" t="b">
        <v>0</v>
      </c>
      <c r="AH96" s="6">
        <v>257</v>
      </c>
      <c r="AL96" s="6"/>
      <c r="AM96" s="6">
        <v>168</v>
      </c>
      <c r="AO96" s="6">
        <v>52</v>
      </c>
      <c r="AP96" s="6">
        <v>155</v>
      </c>
      <c r="AQ96" s="6">
        <v>124</v>
      </c>
      <c r="AR96" s="6">
        <v>138</v>
      </c>
      <c r="AS96" s="6">
        <v>144</v>
      </c>
      <c r="AT96" s="6">
        <v>154</v>
      </c>
      <c r="AU96" s="6">
        <v>158</v>
      </c>
      <c r="AV96" s="6">
        <v>163</v>
      </c>
      <c r="AW96" s="6">
        <v>190</v>
      </c>
      <c r="AX96" s="6">
        <v>4354</v>
      </c>
      <c r="AY96" s="6">
        <v>1998</v>
      </c>
      <c r="AZ96" s="6">
        <v>1060</v>
      </c>
      <c r="BA96" s="6">
        <v>2216</v>
      </c>
      <c r="BB96" s="6">
        <v>804</v>
      </c>
      <c r="BC96" s="6">
        <v>254</v>
      </c>
      <c r="BD96" s="6">
        <v>0</v>
      </c>
      <c r="BE96" s="6"/>
      <c r="BF96" s="6"/>
      <c r="BG96" s="6"/>
      <c r="BH96" s="6"/>
      <c r="BI96" s="6"/>
      <c r="BJ96" s="6"/>
      <c r="BK96" s="6"/>
      <c r="BL96" s="6"/>
      <c r="BM96" s="6">
        <v>90</v>
      </c>
      <c r="BN96" s="6" t="b">
        <v>0</v>
      </c>
      <c r="BO96" s="6" t="b">
        <v>0</v>
      </c>
      <c r="BP96" s="6" t="b">
        <v>0</v>
      </c>
      <c r="BQ96" s="6">
        <v>10683</v>
      </c>
      <c r="BR96" s="6">
        <v>1200</v>
      </c>
      <c r="BS96" s="6">
        <v>600</v>
      </c>
      <c r="BT96" s="6">
        <v>31</v>
      </c>
      <c r="BU96" s="6">
        <v>155</v>
      </c>
      <c r="BW96" s="6"/>
      <c r="BX96" s="6"/>
      <c r="BY96" s="6"/>
      <c r="BZ96" s="6"/>
      <c r="CA96" s="6" t="s">
        <v>516</v>
      </c>
      <c r="CB96" s="6" t="s">
        <v>502</v>
      </c>
      <c r="CD96" s="6" t="s">
        <v>196</v>
      </c>
      <c r="CE96" s="6">
        <v>19866738426</v>
      </c>
    </row>
    <row r="97" spans="1:83" x14ac:dyDescent="0.2">
      <c r="A97" s="6" t="s">
        <v>517</v>
      </c>
      <c r="B97" s="24">
        <v>45863.225069444445</v>
      </c>
      <c r="C97" s="6" t="s">
        <v>427</v>
      </c>
      <c r="D97" s="6" t="s">
        <v>193</v>
      </c>
      <c r="E97" s="6">
        <v>3645</v>
      </c>
      <c r="F97" s="6">
        <v>15476.62</v>
      </c>
      <c r="G97" s="6">
        <v>3746</v>
      </c>
      <c r="H97" s="6">
        <v>64</v>
      </c>
      <c r="I97" s="6">
        <v>7.819</v>
      </c>
      <c r="J97" s="6">
        <v>4.242</v>
      </c>
      <c r="K97" s="6" t="b">
        <v>1</v>
      </c>
      <c r="L97" s="6">
        <v>110</v>
      </c>
      <c r="M97" s="6">
        <v>96</v>
      </c>
      <c r="N97" s="6"/>
      <c r="O97" s="6">
        <v>347</v>
      </c>
      <c r="P97" s="6"/>
      <c r="Q97" s="6"/>
      <c r="R97" s="6"/>
      <c r="S97" s="6"/>
      <c r="T97" s="6">
        <v>43.307205000000003</v>
      </c>
      <c r="U97" s="6">
        <v>19</v>
      </c>
      <c r="X97" s="6">
        <v>4.2459864999999999</v>
      </c>
      <c r="Y97" s="6">
        <v>62.19829</v>
      </c>
      <c r="Z97" s="6">
        <v>50.883980000000001</v>
      </c>
      <c r="AA97" s="6">
        <v>221</v>
      </c>
      <c r="AB97" s="6"/>
      <c r="AC97" s="6"/>
      <c r="AD97" s="6"/>
      <c r="AE97" s="6" t="b">
        <v>0</v>
      </c>
      <c r="AF97" s="6" t="b">
        <v>0</v>
      </c>
      <c r="AH97" s="6">
        <v>257</v>
      </c>
      <c r="AK97" s="6"/>
      <c r="AL97" s="6"/>
      <c r="AM97" s="6">
        <v>19</v>
      </c>
      <c r="AN97" s="6"/>
      <c r="AO97" s="6">
        <v>52</v>
      </c>
      <c r="AP97" s="6">
        <v>155</v>
      </c>
      <c r="AQ97" s="6">
        <v>124</v>
      </c>
      <c r="AR97" s="6">
        <v>138</v>
      </c>
      <c r="AS97" s="6">
        <v>144</v>
      </c>
      <c r="AT97" s="6">
        <v>154</v>
      </c>
      <c r="AU97" s="6">
        <v>158</v>
      </c>
      <c r="AV97" s="6">
        <v>163</v>
      </c>
      <c r="AW97" s="6">
        <v>190</v>
      </c>
      <c r="AX97" s="6">
        <v>3649</v>
      </c>
      <c r="AY97" s="6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/>
      <c r="BF97" s="6"/>
      <c r="BG97" s="6"/>
      <c r="BH97" s="6"/>
      <c r="BI97" s="6"/>
      <c r="BJ97" s="6"/>
      <c r="BK97" s="6"/>
      <c r="BL97" s="6"/>
      <c r="BM97" s="6">
        <v>90</v>
      </c>
      <c r="BN97" s="6" t="b">
        <v>0</v>
      </c>
      <c r="BO97" s="6" t="b">
        <v>0</v>
      </c>
      <c r="BP97" s="6" t="b">
        <v>0</v>
      </c>
      <c r="BQ97" s="6">
        <v>3647</v>
      </c>
      <c r="BR97" s="6">
        <v>1200</v>
      </c>
      <c r="BS97" s="6">
        <v>600</v>
      </c>
      <c r="BW97" s="6"/>
      <c r="BX97" s="6"/>
      <c r="BY97" s="6"/>
      <c r="BZ97" s="6"/>
      <c r="CA97" s="6" t="s">
        <v>518</v>
      </c>
      <c r="CB97" s="6" t="s">
        <v>519</v>
      </c>
      <c r="CD97" s="6" t="s">
        <v>196</v>
      </c>
      <c r="CE97" s="25">
        <v>19843890243</v>
      </c>
    </row>
    <row r="98" spans="1:83" x14ac:dyDescent="0.2">
      <c r="A98" s="6" t="s">
        <v>520</v>
      </c>
      <c r="B98" s="24">
        <v>45862.333877314813</v>
      </c>
      <c r="C98" s="6" t="s">
        <v>521</v>
      </c>
      <c r="D98" s="6" t="s">
        <v>208</v>
      </c>
      <c r="E98" s="6">
        <v>3607</v>
      </c>
      <c r="F98" s="6">
        <v>21266.41</v>
      </c>
      <c r="G98" s="6">
        <v>3729</v>
      </c>
      <c r="H98" s="6">
        <v>147</v>
      </c>
      <c r="I98" s="6">
        <v>17.366</v>
      </c>
      <c r="J98" s="6">
        <v>5.8810000000000002</v>
      </c>
      <c r="K98" s="6" t="b">
        <v>1</v>
      </c>
      <c r="L98" s="6">
        <v>131</v>
      </c>
      <c r="M98" s="6">
        <v>111</v>
      </c>
      <c r="N98" s="6">
        <v>78.089066000000003</v>
      </c>
      <c r="O98" s="6">
        <v>323</v>
      </c>
      <c r="P98" s="6" t="b">
        <v>1</v>
      </c>
      <c r="Q98" s="6">
        <v>94</v>
      </c>
      <c r="R98" s="6">
        <v>94</v>
      </c>
      <c r="S98" s="6">
        <v>339046</v>
      </c>
      <c r="T98" s="6">
        <v>36.575873999999999</v>
      </c>
      <c r="U98" s="6">
        <v>13</v>
      </c>
      <c r="X98" s="6">
        <v>5.8958719999999998</v>
      </c>
      <c r="Y98" s="6">
        <v>68.832040000000006</v>
      </c>
      <c r="Z98" s="6">
        <v>51.652233000000003</v>
      </c>
      <c r="AA98" s="6">
        <v>221</v>
      </c>
      <c r="AB98" s="6">
        <v>1</v>
      </c>
      <c r="AC98" s="6">
        <v>0.84684680000000001</v>
      </c>
      <c r="AD98" s="6" t="b">
        <v>1</v>
      </c>
      <c r="AE98" s="6" t="b">
        <v>0</v>
      </c>
      <c r="AF98" s="6" t="b">
        <v>0</v>
      </c>
      <c r="AH98" s="6">
        <v>257</v>
      </c>
      <c r="AK98" s="6"/>
      <c r="AL98" s="6">
        <v>13</v>
      </c>
      <c r="AM98" s="6">
        <v>31</v>
      </c>
      <c r="AN98" s="6"/>
      <c r="AO98" s="6">
        <v>52</v>
      </c>
      <c r="AP98" s="6">
        <v>155</v>
      </c>
      <c r="AQ98" s="6">
        <v>124</v>
      </c>
      <c r="AR98" s="6">
        <v>138</v>
      </c>
      <c r="AS98" s="6">
        <v>144</v>
      </c>
      <c r="AT98" s="6">
        <v>154</v>
      </c>
      <c r="AU98" s="6">
        <v>158</v>
      </c>
      <c r="AV98" s="6">
        <v>163</v>
      </c>
      <c r="AW98" s="6">
        <v>190</v>
      </c>
      <c r="AX98" s="6">
        <v>3473</v>
      </c>
      <c r="AY98" s="6">
        <v>134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>
        <v>3602</v>
      </c>
      <c r="BF98" s="6">
        <v>5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90</v>
      </c>
      <c r="BN98" s="6" t="b">
        <v>0</v>
      </c>
      <c r="BO98" s="6" t="b">
        <v>0</v>
      </c>
      <c r="BP98" s="6" t="b">
        <v>0</v>
      </c>
      <c r="BQ98" s="6">
        <v>3622</v>
      </c>
      <c r="BR98" s="6">
        <v>1200</v>
      </c>
      <c r="BS98" s="6">
        <v>600</v>
      </c>
      <c r="BW98" s="6">
        <v>92</v>
      </c>
      <c r="BX98" s="6">
        <v>91</v>
      </c>
      <c r="BY98" s="6">
        <v>6943</v>
      </c>
      <c r="BZ98" s="6">
        <v>183</v>
      </c>
      <c r="CA98" s="6" t="s">
        <v>522</v>
      </c>
      <c r="CB98" s="6" t="s">
        <v>519</v>
      </c>
      <c r="CD98" s="6" t="s">
        <v>196</v>
      </c>
      <c r="CE98" s="25">
        <v>1.92482E+18</v>
      </c>
    </row>
    <row r="99" spans="1:83" x14ac:dyDescent="0.2">
      <c r="A99" s="6" t="s">
        <v>523</v>
      </c>
      <c r="B99" s="24">
        <v>45862.253530092596</v>
      </c>
      <c r="C99" s="6" t="s">
        <v>482</v>
      </c>
      <c r="D99" s="6" t="s">
        <v>199</v>
      </c>
      <c r="E99" s="6">
        <v>2867</v>
      </c>
      <c r="F99" s="6">
        <v>6009.96</v>
      </c>
      <c r="G99" s="6">
        <v>2871</v>
      </c>
      <c r="H99" s="6">
        <v>88</v>
      </c>
      <c r="I99" s="6">
        <v>2.5569999999999999</v>
      </c>
      <c r="J99" s="6">
        <v>2.0939999999999999</v>
      </c>
      <c r="K99" s="6" t="b">
        <v>1</v>
      </c>
      <c r="L99" s="6">
        <v>158</v>
      </c>
      <c r="M99" s="6">
        <v>124</v>
      </c>
      <c r="N99" s="6">
        <v>79.441909999999993</v>
      </c>
      <c r="O99" s="6">
        <v>479</v>
      </c>
      <c r="T99" s="6">
        <v>60.312775000000002</v>
      </c>
      <c r="U99" s="6">
        <v>29</v>
      </c>
      <c r="X99" s="6">
        <v>2.0962538999999998</v>
      </c>
      <c r="Y99" s="6">
        <v>68.832040000000006</v>
      </c>
      <c r="Z99" s="6">
        <v>51.652233000000003</v>
      </c>
      <c r="AA99" s="6"/>
      <c r="AE99" s="6" t="b">
        <v>0</v>
      </c>
      <c r="AF99" s="6" t="b">
        <v>0</v>
      </c>
      <c r="AH99" s="6">
        <v>200</v>
      </c>
      <c r="AK99" s="6">
        <v>2.2222222999999999</v>
      </c>
      <c r="AM99" s="6">
        <v>29</v>
      </c>
      <c r="AN99" s="6">
        <v>75</v>
      </c>
      <c r="AO99" s="6">
        <v>52</v>
      </c>
      <c r="AP99" s="6">
        <v>163</v>
      </c>
      <c r="AQ99" s="6">
        <v>137</v>
      </c>
      <c r="AR99" s="6">
        <v>145</v>
      </c>
      <c r="AS99" s="6">
        <v>153</v>
      </c>
      <c r="AT99" s="6">
        <v>162</v>
      </c>
      <c r="AU99" s="6">
        <v>166</v>
      </c>
      <c r="AV99" s="6">
        <v>171</v>
      </c>
      <c r="AW99" s="6">
        <v>175</v>
      </c>
      <c r="AX99" s="6">
        <v>2712</v>
      </c>
      <c r="AY99" s="6">
        <v>27</v>
      </c>
      <c r="AZ99" s="6">
        <v>76</v>
      </c>
      <c r="BA99" s="6">
        <v>51</v>
      </c>
      <c r="BB99" s="6">
        <v>0</v>
      </c>
      <c r="BC99" s="6">
        <v>0</v>
      </c>
      <c r="BD99" s="6">
        <v>0</v>
      </c>
      <c r="BM99" s="6">
        <v>90</v>
      </c>
      <c r="BN99" s="6" t="b">
        <v>0</v>
      </c>
      <c r="BO99" s="6" t="b">
        <v>0</v>
      </c>
      <c r="BP99" s="6" t="b">
        <v>0</v>
      </c>
      <c r="BQ99" s="6">
        <v>2870</v>
      </c>
      <c r="BR99" s="6">
        <v>300</v>
      </c>
      <c r="BS99" s="6">
        <v>300</v>
      </c>
      <c r="CA99" s="6" t="s">
        <v>524</v>
      </c>
      <c r="CB99" s="6" t="s">
        <v>525</v>
      </c>
      <c r="CD99" s="6" t="s">
        <v>196</v>
      </c>
      <c r="CE99" s="6">
        <v>19834222222</v>
      </c>
    </row>
    <row r="100" spans="1:83" x14ac:dyDescent="0.2">
      <c r="A100" s="6" t="s">
        <v>526</v>
      </c>
      <c r="B100" s="24">
        <v>45861.226412037038</v>
      </c>
      <c r="C100" s="6" t="s">
        <v>527</v>
      </c>
      <c r="D100" s="6" t="s">
        <v>193</v>
      </c>
      <c r="E100" s="6">
        <v>7208</v>
      </c>
      <c r="F100" s="6">
        <v>28295.31</v>
      </c>
      <c r="G100" s="6">
        <v>7400</v>
      </c>
      <c r="H100" s="6">
        <v>281</v>
      </c>
      <c r="I100" s="6">
        <v>10.992000000000001</v>
      </c>
      <c r="J100" s="6">
        <v>3.9209999999999998</v>
      </c>
      <c r="K100" s="6" t="b">
        <v>1</v>
      </c>
      <c r="L100" s="6">
        <v>143</v>
      </c>
      <c r="M100" s="6">
        <v>112</v>
      </c>
      <c r="N100" s="6"/>
      <c r="O100" s="6">
        <v>871</v>
      </c>
      <c r="P100" s="6"/>
      <c r="Q100" s="6"/>
      <c r="R100" s="6"/>
      <c r="S100" s="6"/>
      <c r="T100" s="6">
        <v>56.043190000000003</v>
      </c>
      <c r="U100" s="6">
        <v>63</v>
      </c>
      <c r="X100" s="6">
        <v>3.9255426</v>
      </c>
      <c r="Y100" s="6">
        <v>72.952500000000001</v>
      </c>
      <c r="Z100" s="6">
        <v>51.884808</v>
      </c>
      <c r="AA100" s="6">
        <v>221</v>
      </c>
      <c r="AB100" s="6"/>
      <c r="AC100" s="6"/>
      <c r="AD100" s="6"/>
      <c r="AE100" s="6" t="b">
        <v>0</v>
      </c>
      <c r="AF100" s="6" t="b">
        <v>0</v>
      </c>
      <c r="AH100" s="6">
        <v>257</v>
      </c>
      <c r="AK100" s="6"/>
      <c r="AL100" s="6"/>
      <c r="AM100" s="6">
        <v>63</v>
      </c>
      <c r="AN100" s="6"/>
      <c r="AO100" s="6">
        <v>52</v>
      </c>
      <c r="AP100" s="6">
        <v>155</v>
      </c>
      <c r="AQ100" s="6">
        <v>124</v>
      </c>
      <c r="AR100" s="6">
        <v>138</v>
      </c>
      <c r="AS100" s="6">
        <v>144</v>
      </c>
      <c r="AT100" s="6">
        <v>154</v>
      </c>
      <c r="AU100" s="6">
        <v>158</v>
      </c>
      <c r="AV100" s="6">
        <v>163</v>
      </c>
      <c r="AW100" s="6">
        <v>190</v>
      </c>
      <c r="AX100" s="6">
        <v>6302</v>
      </c>
      <c r="AY100" s="6">
        <v>797</v>
      </c>
      <c r="AZ100" s="6">
        <v>112</v>
      </c>
      <c r="BA100" s="6">
        <v>0</v>
      </c>
      <c r="BB100" s="6">
        <v>0</v>
      </c>
      <c r="BC100" s="6">
        <v>0</v>
      </c>
      <c r="BD100" s="6">
        <v>0</v>
      </c>
      <c r="BE100" s="6"/>
      <c r="BF100" s="6"/>
      <c r="BG100" s="6"/>
      <c r="BH100" s="6"/>
      <c r="BI100" s="6"/>
      <c r="BJ100" s="6"/>
      <c r="BK100" s="6"/>
      <c r="BL100" s="6"/>
      <c r="BM100" s="6">
        <v>90</v>
      </c>
      <c r="BN100" s="6" t="b">
        <v>0</v>
      </c>
      <c r="BO100" s="6" t="b">
        <v>0</v>
      </c>
      <c r="BP100" s="6" t="b">
        <v>0</v>
      </c>
      <c r="BQ100" s="6">
        <v>7221</v>
      </c>
      <c r="BR100" s="6">
        <v>1200</v>
      </c>
      <c r="BS100" s="6">
        <v>600</v>
      </c>
      <c r="BT100" s="6"/>
      <c r="BU100" s="6"/>
      <c r="BW100" s="6"/>
      <c r="BX100" s="6"/>
      <c r="BY100" s="6"/>
      <c r="BZ100" s="6"/>
      <c r="CA100" s="6" t="s">
        <v>528</v>
      </c>
      <c r="CB100" s="6" t="s">
        <v>519</v>
      </c>
      <c r="CD100" s="6" t="s">
        <v>196</v>
      </c>
      <c r="CE100" s="6">
        <v>19823772140</v>
      </c>
    </row>
    <row r="101" spans="1:83" x14ac:dyDescent="0.2">
      <c r="A101" s="6" t="s">
        <v>529</v>
      </c>
      <c r="B101" s="24">
        <v>45860.66133101852</v>
      </c>
      <c r="C101" s="6" t="s">
        <v>510</v>
      </c>
      <c r="D101" s="6" t="s">
        <v>199</v>
      </c>
      <c r="E101" s="6">
        <v>2284</v>
      </c>
      <c r="F101" s="6">
        <v>5610.12</v>
      </c>
      <c r="G101" s="6">
        <v>2285</v>
      </c>
      <c r="H101" s="6">
        <v>104</v>
      </c>
      <c r="I101" s="6">
        <v>3.4340000000000002</v>
      </c>
      <c r="J101" s="6">
        <v>2.4550000000000001</v>
      </c>
      <c r="K101" s="6"/>
      <c r="L101" s="6"/>
      <c r="M101" s="6"/>
      <c r="N101" s="6">
        <v>82.474625000000003</v>
      </c>
      <c r="O101" s="6">
        <v>534</v>
      </c>
      <c r="P101" s="6"/>
      <c r="Q101" s="6"/>
      <c r="R101" s="6"/>
      <c r="S101" s="6"/>
      <c r="T101" s="6">
        <v>110.8793</v>
      </c>
      <c r="U101" s="6">
        <v>78</v>
      </c>
      <c r="X101" s="6">
        <v>2.4562697</v>
      </c>
      <c r="Y101" s="6">
        <v>74.480860000000007</v>
      </c>
      <c r="Z101" s="6">
        <v>51.616985</v>
      </c>
      <c r="AA101" s="6"/>
      <c r="AB101" s="6"/>
      <c r="AC101" s="6"/>
      <c r="AD101" s="6"/>
      <c r="AE101" s="6" t="b">
        <v>0</v>
      </c>
      <c r="AF101" s="6" t="b">
        <v>0</v>
      </c>
      <c r="AH101" s="6">
        <v>200</v>
      </c>
      <c r="AK101" s="6">
        <v>2.2222222999999999</v>
      </c>
      <c r="AL101" s="6"/>
      <c r="AM101" s="6"/>
      <c r="AN101" s="6">
        <v>78</v>
      </c>
      <c r="AO101" s="6">
        <v>52</v>
      </c>
      <c r="AP101" s="6">
        <v>163</v>
      </c>
      <c r="AQ101" s="6">
        <v>137</v>
      </c>
      <c r="AR101" s="6">
        <v>145</v>
      </c>
      <c r="AS101" s="6">
        <v>153</v>
      </c>
      <c r="AT101" s="6">
        <v>162</v>
      </c>
      <c r="AU101" s="6">
        <v>166</v>
      </c>
      <c r="AV101" s="6">
        <v>171</v>
      </c>
      <c r="AW101" s="6">
        <v>175</v>
      </c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>
        <v>90</v>
      </c>
      <c r="BN101" s="6" t="b">
        <v>0</v>
      </c>
      <c r="BO101" s="6" t="b">
        <v>0</v>
      </c>
      <c r="BP101" s="6" t="b">
        <v>0</v>
      </c>
      <c r="BQ101" s="6">
        <v>2284</v>
      </c>
      <c r="BR101" s="6">
        <v>300</v>
      </c>
      <c r="BS101" s="6">
        <v>300</v>
      </c>
      <c r="BT101" s="6"/>
      <c r="BU101" s="6"/>
      <c r="BW101" s="6"/>
      <c r="BX101" s="6"/>
      <c r="BY101" s="6"/>
      <c r="BZ101" s="6"/>
      <c r="CA101" s="6" t="s">
        <v>530</v>
      </c>
      <c r="CB101" s="6" t="s">
        <v>525</v>
      </c>
      <c r="CD101" s="6" t="s">
        <v>196</v>
      </c>
      <c r="CE101" s="25">
        <v>19818025967</v>
      </c>
    </row>
    <row r="102" spans="1:83" x14ac:dyDescent="0.2">
      <c r="A102" s="6" t="s">
        <v>531</v>
      </c>
      <c r="B102" s="24">
        <v>45860.28800925926</v>
      </c>
      <c r="C102" s="6" t="s">
        <v>532</v>
      </c>
      <c r="D102" s="6" t="s">
        <v>208</v>
      </c>
      <c r="E102" s="6">
        <v>4927</v>
      </c>
      <c r="F102" s="6">
        <v>38418.720000000001</v>
      </c>
      <c r="G102" s="6">
        <v>4930</v>
      </c>
      <c r="H102" s="6">
        <v>462</v>
      </c>
      <c r="I102" s="6">
        <v>16.858000000000001</v>
      </c>
      <c r="J102" s="6">
        <v>7.7910000000000004</v>
      </c>
      <c r="K102" s="6" t="b">
        <v>1</v>
      </c>
      <c r="L102" s="6">
        <v>159</v>
      </c>
      <c r="M102" s="6">
        <v>143</v>
      </c>
      <c r="N102" s="6">
        <v>73.378600000000006</v>
      </c>
      <c r="O102" s="6">
        <v>854</v>
      </c>
      <c r="P102" s="6" t="b">
        <v>1</v>
      </c>
      <c r="Q102" s="6">
        <v>181</v>
      </c>
      <c r="R102" s="6">
        <v>186</v>
      </c>
      <c r="S102" s="6">
        <v>894020</v>
      </c>
      <c r="T102" s="6">
        <v>72.373540000000006</v>
      </c>
      <c r="U102" s="6">
        <v>72</v>
      </c>
      <c r="X102" s="6">
        <v>7.7975883000000001</v>
      </c>
      <c r="Y102" s="6">
        <v>74.480860000000007</v>
      </c>
      <c r="Z102" s="6">
        <v>51.616985</v>
      </c>
      <c r="AA102" s="6">
        <v>221</v>
      </c>
      <c r="AB102" s="6">
        <v>1.0276244000000001</v>
      </c>
      <c r="AC102" s="6">
        <v>1.3006994000000001</v>
      </c>
      <c r="AD102" s="6" t="b">
        <v>1</v>
      </c>
      <c r="AE102" s="6" t="b">
        <v>0</v>
      </c>
      <c r="AF102" s="6" t="b">
        <v>0</v>
      </c>
      <c r="AH102" s="6">
        <v>257</v>
      </c>
      <c r="AL102" s="6">
        <v>72</v>
      </c>
      <c r="AM102" s="6">
        <v>105</v>
      </c>
      <c r="AO102" s="6">
        <v>52</v>
      </c>
      <c r="AP102" s="6">
        <v>155</v>
      </c>
      <c r="AQ102" s="6">
        <v>124</v>
      </c>
      <c r="AR102" s="6">
        <v>138</v>
      </c>
      <c r="AS102" s="6">
        <v>144</v>
      </c>
      <c r="AT102" s="6">
        <v>154</v>
      </c>
      <c r="AU102" s="6">
        <v>158</v>
      </c>
      <c r="AV102" s="6">
        <v>163</v>
      </c>
      <c r="AW102" s="6">
        <v>190</v>
      </c>
      <c r="AX102" s="6">
        <v>185</v>
      </c>
      <c r="AY102" s="6">
        <v>1501</v>
      </c>
      <c r="AZ102" s="6">
        <v>692</v>
      </c>
      <c r="BA102" s="6">
        <v>1943</v>
      </c>
      <c r="BB102" s="6">
        <v>603</v>
      </c>
      <c r="BC102" s="6">
        <v>3</v>
      </c>
      <c r="BD102" s="6">
        <v>0</v>
      </c>
      <c r="BE102" s="6">
        <v>24</v>
      </c>
      <c r="BF102" s="6">
        <v>2818</v>
      </c>
      <c r="BG102" s="6">
        <v>1756</v>
      </c>
      <c r="BH102" s="6">
        <v>329</v>
      </c>
      <c r="BI102" s="6">
        <v>0</v>
      </c>
      <c r="BJ102" s="6">
        <v>0</v>
      </c>
      <c r="BK102" s="6">
        <v>0</v>
      </c>
      <c r="BL102" s="6">
        <v>362</v>
      </c>
      <c r="BM102" s="6">
        <v>90</v>
      </c>
      <c r="BN102" s="6" t="b">
        <v>0</v>
      </c>
      <c r="BO102" s="6" t="b">
        <v>0</v>
      </c>
      <c r="BP102" s="6" t="b">
        <v>0</v>
      </c>
      <c r="BQ102" s="6">
        <v>4929</v>
      </c>
      <c r="BR102" s="6">
        <v>1200</v>
      </c>
      <c r="BS102" s="6">
        <v>600</v>
      </c>
      <c r="BT102" s="6">
        <v>15</v>
      </c>
      <c r="BU102" s="6">
        <v>156</v>
      </c>
      <c r="BW102" s="6">
        <v>191</v>
      </c>
      <c r="BX102" s="6">
        <v>188</v>
      </c>
      <c r="BY102" s="6">
        <v>13469</v>
      </c>
      <c r="BZ102" s="6">
        <v>259</v>
      </c>
      <c r="CA102" s="6" t="s">
        <v>533</v>
      </c>
      <c r="CB102" s="6" t="s">
        <v>534</v>
      </c>
      <c r="CD102" s="6" t="s">
        <v>196</v>
      </c>
      <c r="CE102" s="25">
        <v>1.92334E+18</v>
      </c>
    </row>
    <row r="103" spans="1:83" x14ac:dyDescent="0.2">
      <c r="A103" s="6" t="s">
        <v>535</v>
      </c>
      <c r="B103" s="24">
        <v>45859.243576388886</v>
      </c>
      <c r="C103" s="6" t="s">
        <v>427</v>
      </c>
      <c r="D103" s="6" t="s">
        <v>193</v>
      </c>
      <c r="E103" s="6">
        <v>7870</v>
      </c>
      <c r="F103" s="6">
        <v>30074.81</v>
      </c>
      <c r="G103" s="6">
        <v>8019</v>
      </c>
      <c r="H103" s="6">
        <v>377</v>
      </c>
      <c r="I103" s="6">
        <v>11.952999999999999</v>
      </c>
      <c r="J103" s="6">
        <v>3.8159999999999998</v>
      </c>
      <c r="K103" s="6" t="b">
        <v>1</v>
      </c>
      <c r="L103" s="6">
        <v>143</v>
      </c>
      <c r="M103" s="6">
        <v>116</v>
      </c>
      <c r="N103" s="6"/>
      <c r="O103" s="6">
        <v>984</v>
      </c>
      <c r="P103" s="6"/>
      <c r="Q103" s="6"/>
      <c r="R103" s="6"/>
      <c r="S103" s="6"/>
      <c r="T103" s="6">
        <v>59.558759999999999</v>
      </c>
      <c r="U103" s="6">
        <v>78</v>
      </c>
      <c r="X103" s="6">
        <v>3.82145</v>
      </c>
      <c r="Y103" s="6">
        <v>62.883760000000002</v>
      </c>
      <c r="Z103" s="6">
        <v>49.246420000000001</v>
      </c>
      <c r="AA103" s="6">
        <v>221</v>
      </c>
      <c r="AB103" s="6"/>
      <c r="AC103" s="6"/>
      <c r="AD103" s="6"/>
      <c r="AE103" s="6" t="b">
        <v>0</v>
      </c>
      <c r="AF103" s="6" t="b">
        <v>0</v>
      </c>
      <c r="AH103" s="6">
        <v>257</v>
      </c>
      <c r="AL103" s="6"/>
      <c r="AM103" s="6">
        <v>78</v>
      </c>
      <c r="AO103" s="6">
        <v>52</v>
      </c>
      <c r="AP103" s="6">
        <v>155</v>
      </c>
      <c r="AQ103" s="6">
        <v>124</v>
      </c>
      <c r="AR103" s="6">
        <v>138</v>
      </c>
      <c r="AS103" s="6">
        <v>144</v>
      </c>
      <c r="AT103" s="6">
        <v>154</v>
      </c>
      <c r="AU103" s="6">
        <v>158</v>
      </c>
      <c r="AV103" s="6">
        <v>163</v>
      </c>
      <c r="AW103" s="6">
        <v>190</v>
      </c>
      <c r="AX103" s="6">
        <v>6296</v>
      </c>
      <c r="AY103" s="6">
        <v>1375</v>
      </c>
      <c r="AZ103" s="6">
        <v>207</v>
      </c>
      <c r="BA103" s="6">
        <v>0</v>
      </c>
      <c r="BB103" s="6">
        <v>0</v>
      </c>
      <c r="BC103" s="6">
        <v>0</v>
      </c>
      <c r="BD103" s="6">
        <v>0</v>
      </c>
      <c r="BE103" s="6"/>
      <c r="BF103" s="6"/>
      <c r="BG103" s="6"/>
      <c r="BH103" s="6"/>
      <c r="BI103" s="6"/>
      <c r="BJ103" s="6"/>
      <c r="BK103" s="6"/>
      <c r="BL103" s="6"/>
      <c r="BM103" s="6">
        <v>90</v>
      </c>
      <c r="BN103" s="6" t="b">
        <v>0</v>
      </c>
      <c r="BO103" s="6" t="b">
        <v>0</v>
      </c>
      <c r="BP103" s="6" t="b">
        <v>0</v>
      </c>
      <c r="BQ103" s="6">
        <v>7916</v>
      </c>
      <c r="BR103" s="6">
        <v>1200</v>
      </c>
      <c r="BS103" s="6">
        <v>600</v>
      </c>
      <c r="BW103" s="6"/>
      <c r="BX103" s="6"/>
      <c r="BY103" s="6"/>
      <c r="BZ103" s="6"/>
      <c r="CA103" s="6" t="s">
        <v>536</v>
      </c>
      <c r="CB103" s="6" t="s">
        <v>534</v>
      </c>
      <c r="CD103" s="6" t="s">
        <v>196</v>
      </c>
      <c r="CE103" s="25">
        <v>19802441573</v>
      </c>
    </row>
    <row r="104" spans="1:83" x14ac:dyDescent="0.2">
      <c r="A104" s="6" t="s">
        <v>537</v>
      </c>
      <c r="B104" s="24">
        <v>45857.810798611114</v>
      </c>
      <c r="C104" s="6" t="s">
        <v>424</v>
      </c>
      <c r="D104" s="6" t="s">
        <v>208</v>
      </c>
      <c r="E104" s="6">
        <v>2305</v>
      </c>
      <c r="F104" s="6">
        <v>10773.96</v>
      </c>
      <c r="G104" s="6">
        <v>2305</v>
      </c>
      <c r="H104" s="6">
        <v>143</v>
      </c>
      <c r="I104" s="6">
        <v>15.49</v>
      </c>
      <c r="J104" s="6">
        <v>4.6719999999999997</v>
      </c>
      <c r="K104" s="6" t="b">
        <v>1</v>
      </c>
      <c r="L104" s="6">
        <v>118</v>
      </c>
      <c r="M104" s="6">
        <v>101</v>
      </c>
      <c r="N104" s="6">
        <v>72.125595000000004</v>
      </c>
      <c r="O104" s="6">
        <v>196</v>
      </c>
      <c r="P104" s="6" t="b">
        <v>1</v>
      </c>
      <c r="Q104" s="6">
        <v>89</v>
      </c>
      <c r="R104" s="6">
        <v>89</v>
      </c>
      <c r="S104" s="6">
        <v>205552</v>
      </c>
      <c r="T104" s="6">
        <v>34.630352000000002</v>
      </c>
      <c r="U104" s="6">
        <v>8</v>
      </c>
      <c r="X104" s="6">
        <v>4.674169</v>
      </c>
      <c r="Y104" s="6">
        <v>69.862700000000004</v>
      </c>
      <c r="Z104" s="6">
        <v>49.723506999999998</v>
      </c>
      <c r="AA104" s="6">
        <v>221</v>
      </c>
      <c r="AB104" s="6">
        <v>1</v>
      </c>
      <c r="AC104" s="6">
        <v>0.88118810000000003</v>
      </c>
      <c r="AD104" s="6" t="b">
        <v>1</v>
      </c>
      <c r="AE104" s="6" t="b">
        <v>0</v>
      </c>
      <c r="AF104" s="6" t="b">
        <v>0</v>
      </c>
      <c r="AH104" s="6">
        <v>257</v>
      </c>
      <c r="AL104" s="6">
        <v>8</v>
      </c>
      <c r="AM104" s="6">
        <v>15</v>
      </c>
      <c r="AO104" s="6">
        <v>52</v>
      </c>
      <c r="AP104" s="6">
        <v>155</v>
      </c>
      <c r="AQ104" s="6">
        <v>124</v>
      </c>
      <c r="AR104" s="6">
        <v>138</v>
      </c>
      <c r="AS104" s="6">
        <v>144</v>
      </c>
      <c r="AT104" s="6">
        <v>154</v>
      </c>
      <c r="AU104" s="6">
        <v>158</v>
      </c>
      <c r="AV104" s="6">
        <v>163</v>
      </c>
      <c r="AW104" s="6">
        <v>190</v>
      </c>
      <c r="AX104" s="6">
        <v>2305</v>
      </c>
      <c r="AY104" s="6">
        <v>0</v>
      </c>
      <c r="AZ104" s="6">
        <v>0</v>
      </c>
      <c r="BA104" s="6">
        <v>0</v>
      </c>
      <c r="BB104" s="6">
        <v>0</v>
      </c>
      <c r="BC104" s="6">
        <v>0</v>
      </c>
      <c r="BD104" s="6">
        <v>0</v>
      </c>
      <c r="BE104" s="6">
        <v>2305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90</v>
      </c>
      <c r="BN104" s="6" t="b">
        <v>0</v>
      </c>
      <c r="BO104" s="6" t="b">
        <v>0</v>
      </c>
      <c r="BP104" s="6" t="b">
        <v>0</v>
      </c>
      <c r="BQ104" s="6">
        <v>2304</v>
      </c>
      <c r="BR104" s="6">
        <v>0</v>
      </c>
      <c r="BS104" s="6">
        <v>0</v>
      </c>
      <c r="BW104" s="6">
        <v>87</v>
      </c>
      <c r="BX104" s="6">
        <v>86</v>
      </c>
      <c r="BY104" s="6">
        <v>6574</v>
      </c>
      <c r="BZ104" s="6">
        <v>125</v>
      </c>
      <c r="CA104" s="6" t="s">
        <v>538</v>
      </c>
      <c r="CB104" s="6" t="s">
        <v>534</v>
      </c>
      <c r="CD104" s="6" t="s">
        <v>196</v>
      </c>
      <c r="CE104" s="25">
        <v>1.92155E+18</v>
      </c>
    </row>
    <row r="105" spans="1:83" x14ac:dyDescent="0.2">
      <c r="A105" s="6" t="s">
        <v>539</v>
      </c>
      <c r="B105" s="24">
        <v>45857.283217592594</v>
      </c>
      <c r="C105" s="6" t="s">
        <v>427</v>
      </c>
      <c r="D105" s="6" t="s">
        <v>193</v>
      </c>
      <c r="E105" s="6">
        <v>13080</v>
      </c>
      <c r="F105" s="6">
        <v>53108.17</v>
      </c>
      <c r="G105" s="6">
        <v>13836</v>
      </c>
      <c r="H105" s="6">
        <v>612</v>
      </c>
      <c r="I105" s="6">
        <v>12.205</v>
      </c>
      <c r="J105" s="6">
        <v>4.0529999999999999</v>
      </c>
      <c r="K105" s="6" t="b">
        <v>1</v>
      </c>
      <c r="L105" s="6">
        <v>148</v>
      </c>
      <c r="M105" s="6">
        <v>121</v>
      </c>
      <c r="N105" s="6"/>
      <c r="O105" s="6">
        <v>1856</v>
      </c>
      <c r="P105" s="6"/>
      <c r="Q105" s="6"/>
      <c r="R105" s="6"/>
      <c r="S105" s="6"/>
      <c r="T105" s="6">
        <v>64.785889999999995</v>
      </c>
      <c r="U105" s="6">
        <v>153</v>
      </c>
      <c r="X105" s="6">
        <v>4.0602580000000001</v>
      </c>
      <c r="Y105" s="6">
        <v>69.862700000000004</v>
      </c>
      <c r="Z105" s="6">
        <v>49.723506999999998</v>
      </c>
      <c r="AA105" s="6">
        <v>221</v>
      </c>
      <c r="AB105" s="6"/>
      <c r="AC105" s="6"/>
      <c r="AD105" s="6"/>
      <c r="AE105" s="6" t="b">
        <v>0</v>
      </c>
      <c r="AF105" s="6" t="b">
        <v>0</v>
      </c>
      <c r="AH105" s="6">
        <v>257</v>
      </c>
      <c r="AL105" s="6"/>
      <c r="AM105" s="6">
        <v>153</v>
      </c>
      <c r="AO105" s="6">
        <v>52</v>
      </c>
      <c r="AP105" s="6">
        <v>155</v>
      </c>
      <c r="AQ105" s="6">
        <v>124</v>
      </c>
      <c r="AR105" s="6">
        <v>138</v>
      </c>
      <c r="AS105" s="6">
        <v>144</v>
      </c>
      <c r="AT105" s="6">
        <v>154</v>
      </c>
      <c r="AU105" s="6">
        <v>158</v>
      </c>
      <c r="AV105" s="6">
        <v>163</v>
      </c>
      <c r="AW105" s="6">
        <v>190</v>
      </c>
      <c r="AX105" s="6">
        <v>8135</v>
      </c>
      <c r="AY105" s="6">
        <v>4348</v>
      </c>
      <c r="AZ105" s="6">
        <v>535</v>
      </c>
      <c r="BA105" s="6">
        <v>84</v>
      </c>
      <c r="BB105" s="6">
        <v>0</v>
      </c>
      <c r="BC105" s="6">
        <v>0</v>
      </c>
      <c r="BD105" s="6">
        <v>0</v>
      </c>
      <c r="BE105" s="6"/>
      <c r="BF105" s="6"/>
      <c r="BG105" s="6"/>
      <c r="BH105" s="6"/>
      <c r="BI105" s="6"/>
      <c r="BJ105" s="6"/>
      <c r="BK105" s="6"/>
      <c r="BL105" s="6"/>
      <c r="BM105" s="6">
        <v>90</v>
      </c>
      <c r="BN105" s="6" t="b">
        <v>0</v>
      </c>
      <c r="BO105" s="6" t="b">
        <v>0</v>
      </c>
      <c r="BP105" s="6" t="b">
        <v>0</v>
      </c>
      <c r="BQ105" s="6">
        <v>13123</v>
      </c>
      <c r="BR105" s="6">
        <v>1200</v>
      </c>
      <c r="BS105" s="6">
        <v>600</v>
      </c>
      <c r="BW105" s="6"/>
      <c r="BX105" s="6"/>
      <c r="BY105" s="6"/>
      <c r="BZ105" s="6"/>
      <c r="CA105" s="6" t="s">
        <v>540</v>
      </c>
      <c r="CB105" s="6" t="s">
        <v>534</v>
      </c>
      <c r="CD105" s="6" t="s">
        <v>196</v>
      </c>
      <c r="CE105" s="6">
        <v>19784288378</v>
      </c>
    </row>
    <row r="106" spans="1:83" x14ac:dyDescent="0.2">
      <c r="A106" s="6" t="s">
        <v>541</v>
      </c>
      <c r="B106" s="24">
        <v>45856.232511574075</v>
      </c>
      <c r="C106" s="6" t="s">
        <v>297</v>
      </c>
      <c r="D106" s="6" t="s">
        <v>193</v>
      </c>
      <c r="E106" s="6">
        <v>4732</v>
      </c>
      <c r="F106" s="6">
        <v>18783.79</v>
      </c>
      <c r="G106" s="6">
        <v>4825</v>
      </c>
      <c r="H106" s="6">
        <v>99</v>
      </c>
      <c r="I106" s="6">
        <v>9.5169999999999995</v>
      </c>
      <c r="J106" s="6">
        <v>3.9670000000000001</v>
      </c>
      <c r="K106" s="6" t="b">
        <v>1</v>
      </c>
      <c r="L106" s="6">
        <v>121</v>
      </c>
      <c r="M106" s="6">
        <v>97</v>
      </c>
      <c r="N106" s="6"/>
      <c r="O106" s="6">
        <v>458</v>
      </c>
      <c r="P106" s="6"/>
      <c r="Q106" s="6"/>
      <c r="R106" s="6"/>
      <c r="S106" s="6"/>
      <c r="T106" s="6">
        <v>44.465564999999998</v>
      </c>
      <c r="U106" s="6">
        <v>26</v>
      </c>
      <c r="X106" s="6">
        <v>3.9695244000000001</v>
      </c>
      <c r="Y106" s="6">
        <v>55.867199999999997</v>
      </c>
      <c r="Z106" s="6">
        <v>47.042273999999999</v>
      </c>
      <c r="AA106" s="6">
        <v>221</v>
      </c>
      <c r="AB106" s="6"/>
      <c r="AC106" s="6"/>
      <c r="AD106" s="6"/>
      <c r="AE106" s="6" t="b">
        <v>0</v>
      </c>
      <c r="AF106" s="6" t="b">
        <v>0</v>
      </c>
      <c r="AH106" s="6">
        <v>257</v>
      </c>
      <c r="AL106" s="6"/>
      <c r="AM106" s="6">
        <v>26</v>
      </c>
      <c r="AO106" s="6">
        <v>52</v>
      </c>
      <c r="AP106" s="6">
        <v>155</v>
      </c>
      <c r="AQ106" s="6">
        <v>124</v>
      </c>
      <c r="AR106" s="6">
        <v>138</v>
      </c>
      <c r="AS106" s="6">
        <v>144</v>
      </c>
      <c r="AT106" s="6">
        <v>154</v>
      </c>
      <c r="AU106" s="6">
        <v>158</v>
      </c>
      <c r="AV106" s="6">
        <v>163</v>
      </c>
      <c r="AW106" s="6">
        <v>190</v>
      </c>
      <c r="AX106" s="6">
        <v>4736</v>
      </c>
      <c r="AY106" s="6">
        <v>0</v>
      </c>
      <c r="AZ106" s="6">
        <v>0</v>
      </c>
      <c r="BA106" s="6">
        <v>0</v>
      </c>
      <c r="BB106" s="6">
        <v>0</v>
      </c>
      <c r="BC106" s="6">
        <v>0</v>
      </c>
      <c r="BD106" s="6">
        <v>0</v>
      </c>
      <c r="BE106" s="6"/>
      <c r="BF106" s="6"/>
      <c r="BG106" s="6"/>
      <c r="BH106" s="6"/>
      <c r="BI106" s="6"/>
      <c r="BJ106" s="6"/>
      <c r="BK106" s="6"/>
      <c r="BL106" s="6"/>
      <c r="BM106" s="6">
        <v>90</v>
      </c>
      <c r="BN106" s="6" t="b">
        <v>0</v>
      </c>
      <c r="BO106" s="6" t="b">
        <v>0</v>
      </c>
      <c r="BP106" s="6" t="b">
        <v>0</v>
      </c>
      <c r="BQ106" s="6">
        <v>4734</v>
      </c>
      <c r="BR106" s="6">
        <v>1200</v>
      </c>
      <c r="BS106" s="6">
        <v>600</v>
      </c>
      <c r="BW106" s="6"/>
      <c r="BX106" s="6"/>
      <c r="BY106" s="6"/>
      <c r="BZ106" s="6"/>
      <c r="CA106" s="6" t="s">
        <v>542</v>
      </c>
      <c r="CB106" s="6" t="s">
        <v>543</v>
      </c>
      <c r="CD106" s="6" t="s">
        <v>196</v>
      </c>
      <c r="CE106" s="25">
        <v>19771789823</v>
      </c>
    </row>
    <row r="107" spans="1:83" x14ac:dyDescent="0.2">
      <c r="A107" s="6" t="s">
        <v>544</v>
      </c>
      <c r="B107" s="24">
        <v>45855.322106481479</v>
      </c>
      <c r="C107" s="6" t="s">
        <v>545</v>
      </c>
      <c r="D107" s="6" t="s">
        <v>208</v>
      </c>
      <c r="E107" s="6">
        <v>4205</v>
      </c>
      <c r="F107" s="6">
        <v>29041.02</v>
      </c>
      <c r="G107" s="6">
        <v>4208</v>
      </c>
      <c r="H107" s="6">
        <v>354</v>
      </c>
      <c r="I107" s="6">
        <v>16.231000000000002</v>
      </c>
      <c r="J107" s="6">
        <v>6.899</v>
      </c>
      <c r="K107" s="6" t="b">
        <v>1</v>
      </c>
      <c r="L107" s="6">
        <v>145</v>
      </c>
      <c r="M107" s="6">
        <v>128</v>
      </c>
      <c r="N107" s="6">
        <v>72.064445000000006</v>
      </c>
      <c r="O107" s="6">
        <v>611</v>
      </c>
      <c r="P107" s="6" t="b">
        <v>1</v>
      </c>
      <c r="Q107" s="6">
        <v>152</v>
      </c>
      <c r="R107" s="6">
        <v>156</v>
      </c>
      <c r="S107" s="6">
        <v>640305</v>
      </c>
      <c r="T107" s="6">
        <v>60.700389999999999</v>
      </c>
      <c r="U107" s="6">
        <v>43</v>
      </c>
      <c r="X107" s="6">
        <v>6.9063067</v>
      </c>
      <c r="Y107" s="6">
        <v>60.453754000000004</v>
      </c>
      <c r="Z107" s="6">
        <v>47.549294000000003</v>
      </c>
      <c r="AA107" s="6">
        <v>221</v>
      </c>
      <c r="AB107" s="6">
        <v>1.0263157999999999</v>
      </c>
      <c r="AC107" s="6">
        <v>1.21875</v>
      </c>
      <c r="AD107" s="6" t="b">
        <v>1</v>
      </c>
      <c r="AE107" s="6" t="b">
        <v>0</v>
      </c>
      <c r="AF107" s="6" t="b">
        <v>0</v>
      </c>
      <c r="AH107" s="6">
        <v>257</v>
      </c>
      <c r="AL107" s="6">
        <v>43</v>
      </c>
      <c r="AM107" s="6">
        <v>60</v>
      </c>
      <c r="AO107" s="6">
        <v>52</v>
      </c>
      <c r="AP107" s="6">
        <v>155</v>
      </c>
      <c r="AQ107" s="6">
        <v>124</v>
      </c>
      <c r="AR107" s="6">
        <v>138</v>
      </c>
      <c r="AS107" s="6">
        <v>144</v>
      </c>
      <c r="AT107" s="6">
        <v>154</v>
      </c>
      <c r="AU107" s="6">
        <v>158</v>
      </c>
      <c r="AV107" s="6">
        <v>163</v>
      </c>
      <c r="AW107" s="6">
        <v>190</v>
      </c>
      <c r="AX107" s="6">
        <v>1069</v>
      </c>
      <c r="AY107" s="6">
        <v>2787</v>
      </c>
      <c r="AZ107" s="6">
        <v>347</v>
      </c>
      <c r="BA107" s="6">
        <v>2</v>
      </c>
      <c r="BB107" s="6">
        <v>0</v>
      </c>
      <c r="BC107" s="6">
        <v>0</v>
      </c>
      <c r="BD107" s="6">
        <v>0</v>
      </c>
      <c r="BE107" s="6">
        <v>616</v>
      </c>
      <c r="BF107" s="6">
        <v>3586</v>
      </c>
      <c r="BG107" s="6">
        <v>3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90</v>
      </c>
      <c r="BN107" s="6" t="b">
        <v>0</v>
      </c>
      <c r="BO107" s="6" t="b">
        <v>0</v>
      </c>
      <c r="BP107" s="6" t="b">
        <v>0</v>
      </c>
      <c r="BQ107" s="6">
        <v>4207</v>
      </c>
      <c r="BR107" s="6">
        <v>1200</v>
      </c>
      <c r="BS107" s="6">
        <v>600</v>
      </c>
      <c r="BW107" s="6">
        <v>160</v>
      </c>
      <c r="BX107" s="6">
        <v>157</v>
      </c>
      <c r="BY107" s="6">
        <v>13552</v>
      </c>
      <c r="BZ107" s="6">
        <v>207</v>
      </c>
      <c r="CA107" s="6" t="s">
        <v>546</v>
      </c>
      <c r="CB107" s="6" t="s">
        <v>543</v>
      </c>
      <c r="CD107" s="6" t="s">
        <v>196</v>
      </c>
      <c r="CE107" s="25">
        <v>1.91974E+18</v>
      </c>
    </row>
    <row r="108" spans="1:83" x14ac:dyDescent="0.2">
      <c r="A108" s="6" t="s">
        <v>547</v>
      </c>
      <c r="B108" s="24">
        <v>45854.352407407408</v>
      </c>
      <c r="C108" s="6" t="s">
        <v>548</v>
      </c>
      <c r="D108" s="6" t="s">
        <v>208</v>
      </c>
      <c r="E108" s="6">
        <v>4206</v>
      </c>
      <c r="F108" s="6">
        <v>20355.509999999998</v>
      </c>
      <c r="G108" s="6">
        <v>4209</v>
      </c>
      <c r="H108" s="6">
        <v>473</v>
      </c>
      <c r="I108" s="6">
        <v>22.704999999999998</v>
      </c>
      <c r="J108" s="6">
        <v>4.835</v>
      </c>
      <c r="K108" s="6" t="b">
        <v>1</v>
      </c>
      <c r="L108" s="6">
        <v>148</v>
      </c>
      <c r="M108" s="6">
        <v>132</v>
      </c>
      <c r="N108" s="6">
        <v>76.22336</v>
      </c>
      <c r="O108" s="6">
        <v>591</v>
      </c>
      <c r="P108" s="6" t="b">
        <v>1</v>
      </c>
      <c r="Q108" s="6">
        <v>147</v>
      </c>
      <c r="R108" s="6">
        <v>154</v>
      </c>
      <c r="S108" s="6">
        <v>619018</v>
      </c>
      <c r="T108" s="6">
        <v>59.922179999999997</v>
      </c>
      <c r="U108" s="6">
        <v>42</v>
      </c>
      <c r="X108" s="6">
        <v>4.8396362999999996</v>
      </c>
      <c r="Y108" s="6">
        <v>63.134039999999999</v>
      </c>
      <c r="Z108" s="6">
        <v>47.658909999999999</v>
      </c>
      <c r="AA108" s="6">
        <v>221</v>
      </c>
      <c r="AB108" s="6">
        <v>1.0476190999999999</v>
      </c>
      <c r="AC108" s="6">
        <v>1.1666666000000001</v>
      </c>
      <c r="AD108" s="6" t="b">
        <v>1</v>
      </c>
      <c r="AE108" s="6" t="b">
        <v>0</v>
      </c>
      <c r="AF108" s="6" t="b">
        <v>0</v>
      </c>
      <c r="AH108" s="6">
        <v>257</v>
      </c>
      <c r="AL108" s="6">
        <v>42</v>
      </c>
      <c r="AM108" s="6">
        <v>67</v>
      </c>
      <c r="AO108" s="6">
        <v>52</v>
      </c>
      <c r="AP108" s="6">
        <v>155</v>
      </c>
      <c r="AQ108" s="6">
        <v>124</v>
      </c>
      <c r="AR108" s="6">
        <v>138</v>
      </c>
      <c r="AS108" s="6">
        <v>144</v>
      </c>
      <c r="AT108" s="6">
        <v>154</v>
      </c>
      <c r="AU108" s="6">
        <v>158</v>
      </c>
      <c r="AV108" s="6">
        <v>163</v>
      </c>
      <c r="AW108" s="6">
        <v>190</v>
      </c>
      <c r="AX108" s="6">
        <v>1122</v>
      </c>
      <c r="AY108" s="6">
        <v>1573</v>
      </c>
      <c r="AZ108" s="6">
        <v>1290</v>
      </c>
      <c r="BA108" s="6">
        <v>221</v>
      </c>
      <c r="BB108" s="6">
        <v>0</v>
      </c>
      <c r="BC108" s="6">
        <v>0</v>
      </c>
      <c r="BD108" s="6">
        <v>0</v>
      </c>
      <c r="BE108" s="6">
        <v>2180</v>
      </c>
      <c r="BF108" s="6">
        <v>2020</v>
      </c>
      <c r="BG108" s="6">
        <v>6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90</v>
      </c>
      <c r="BN108" s="6" t="b">
        <v>0</v>
      </c>
      <c r="BO108" s="6" t="b">
        <v>0</v>
      </c>
      <c r="BP108" s="6" t="b">
        <v>0</v>
      </c>
      <c r="BQ108" s="6">
        <v>4208</v>
      </c>
      <c r="BR108" s="6">
        <v>1200</v>
      </c>
      <c r="BS108" s="6">
        <v>600</v>
      </c>
      <c r="BT108" s="6"/>
      <c r="BU108" s="6"/>
      <c r="BW108" s="6">
        <v>165</v>
      </c>
      <c r="BX108" s="6">
        <v>161</v>
      </c>
      <c r="BY108" s="6">
        <v>14677</v>
      </c>
      <c r="BZ108" s="6">
        <v>223</v>
      </c>
      <c r="CA108" s="6" t="s">
        <v>549</v>
      </c>
      <c r="CB108" s="6" t="s">
        <v>550</v>
      </c>
      <c r="CD108" s="6" t="s">
        <v>196</v>
      </c>
      <c r="CE108" s="25">
        <v>1.91904E+18</v>
      </c>
    </row>
    <row r="109" spans="1:83" x14ac:dyDescent="0.2">
      <c r="A109" s="6" t="s">
        <v>551</v>
      </c>
      <c r="B109" s="24">
        <v>45854.237662037034</v>
      </c>
      <c r="C109" s="6" t="s">
        <v>527</v>
      </c>
      <c r="D109" s="6" t="s">
        <v>193</v>
      </c>
      <c r="E109" s="6">
        <v>6371</v>
      </c>
      <c r="F109" s="6">
        <v>28286.54</v>
      </c>
      <c r="G109" s="6">
        <v>6485</v>
      </c>
      <c r="H109" s="6">
        <v>280</v>
      </c>
      <c r="I109" s="6">
        <v>11.775</v>
      </c>
      <c r="J109" s="6">
        <v>4.4320000000000004</v>
      </c>
      <c r="K109" s="6" t="b">
        <v>1</v>
      </c>
      <c r="L109" s="6">
        <v>148</v>
      </c>
      <c r="M109" s="6">
        <v>120</v>
      </c>
      <c r="N109" s="6"/>
      <c r="O109" s="6">
        <v>922</v>
      </c>
      <c r="P109" s="6"/>
      <c r="Q109" s="6"/>
      <c r="R109" s="6"/>
      <c r="S109" s="6"/>
      <c r="T109" s="6">
        <v>63.06324</v>
      </c>
      <c r="U109" s="6">
        <v>71</v>
      </c>
      <c r="X109" s="6">
        <v>4.4398900000000001</v>
      </c>
      <c r="Y109" s="6">
        <v>63.134039999999999</v>
      </c>
      <c r="Z109" s="6">
        <v>47.658909999999999</v>
      </c>
      <c r="AA109" s="6">
        <v>221</v>
      </c>
      <c r="AB109" s="6"/>
      <c r="AC109" s="6"/>
      <c r="AD109" s="6"/>
      <c r="AE109" s="6" t="b">
        <v>0</v>
      </c>
      <c r="AF109" s="6" t="b">
        <v>0</v>
      </c>
      <c r="AH109" s="6">
        <v>257</v>
      </c>
      <c r="AL109" s="6"/>
      <c r="AM109" s="6">
        <v>71</v>
      </c>
      <c r="AO109" s="6">
        <v>52</v>
      </c>
      <c r="AP109" s="6">
        <v>155</v>
      </c>
      <c r="AQ109" s="6">
        <v>124</v>
      </c>
      <c r="AR109" s="6">
        <v>138</v>
      </c>
      <c r="AS109" s="6">
        <v>144</v>
      </c>
      <c r="AT109" s="6">
        <v>154</v>
      </c>
      <c r="AU109" s="6">
        <v>158</v>
      </c>
      <c r="AV109" s="6">
        <v>163</v>
      </c>
      <c r="AW109" s="6">
        <v>190</v>
      </c>
      <c r="AX109" s="6">
        <v>4343</v>
      </c>
      <c r="AY109" s="6">
        <v>1803</v>
      </c>
      <c r="AZ109" s="6">
        <v>165</v>
      </c>
      <c r="BA109" s="6">
        <v>72</v>
      </c>
      <c r="BB109" s="6">
        <v>0</v>
      </c>
      <c r="BC109" s="6">
        <v>0</v>
      </c>
      <c r="BD109" s="6">
        <v>0</v>
      </c>
      <c r="BE109" s="6"/>
      <c r="BF109" s="6"/>
      <c r="BG109" s="6"/>
      <c r="BH109" s="6"/>
      <c r="BI109" s="6"/>
      <c r="BJ109" s="6"/>
      <c r="BK109" s="6"/>
      <c r="BL109" s="6"/>
      <c r="BM109" s="6">
        <v>90</v>
      </c>
      <c r="BN109" s="6" t="b">
        <v>0</v>
      </c>
      <c r="BO109" s="6" t="b">
        <v>0</v>
      </c>
      <c r="BP109" s="6" t="b">
        <v>0</v>
      </c>
      <c r="BQ109" s="6">
        <v>6427</v>
      </c>
      <c r="BR109" s="6">
        <v>1200</v>
      </c>
      <c r="BS109" s="6">
        <v>600</v>
      </c>
      <c r="BT109" s="6"/>
      <c r="BU109" s="6"/>
      <c r="BW109" s="6"/>
      <c r="BX109" s="6"/>
      <c r="BY109" s="6"/>
      <c r="BZ109" s="6"/>
      <c r="CA109" s="6" t="s">
        <v>552</v>
      </c>
      <c r="CB109" s="6" t="s">
        <v>550</v>
      </c>
      <c r="CD109" s="6" t="s">
        <v>196</v>
      </c>
      <c r="CE109" s="25">
        <v>19751494264</v>
      </c>
    </row>
    <row r="110" spans="1:83" x14ac:dyDescent="0.2">
      <c r="A110" s="6" t="s">
        <v>553</v>
      </c>
      <c r="B110" s="24">
        <v>45853.351446759261</v>
      </c>
      <c r="C110" s="6" t="s">
        <v>554</v>
      </c>
      <c r="D110" s="6" t="s">
        <v>208</v>
      </c>
      <c r="E110" s="6">
        <v>4930</v>
      </c>
      <c r="F110" s="6">
        <v>39217.15</v>
      </c>
      <c r="G110" s="6">
        <v>4935</v>
      </c>
      <c r="H110" s="6">
        <v>231</v>
      </c>
      <c r="I110" s="6">
        <v>13.760999999999999</v>
      </c>
      <c r="J110" s="6">
        <v>7.9450000000000003</v>
      </c>
      <c r="K110" s="6" t="b">
        <v>1</v>
      </c>
      <c r="L110" s="6">
        <v>162</v>
      </c>
      <c r="M110" s="6">
        <v>135</v>
      </c>
      <c r="N110" s="6">
        <v>70.054694999999995</v>
      </c>
      <c r="O110" s="6">
        <v>775</v>
      </c>
      <c r="P110" s="6" t="b">
        <v>1</v>
      </c>
      <c r="Q110" s="6">
        <v>165</v>
      </c>
      <c r="R110" s="6">
        <v>190</v>
      </c>
      <c r="S110" s="6">
        <v>812169</v>
      </c>
      <c r="T110" s="6">
        <v>73.929959999999994</v>
      </c>
      <c r="U110" s="6">
        <v>75</v>
      </c>
      <c r="X110" s="6">
        <v>7.9547970000000001</v>
      </c>
      <c r="Y110" s="6">
        <v>55.476376000000002</v>
      </c>
      <c r="Z110" s="6">
        <v>46.084499999999998</v>
      </c>
      <c r="AA110" s="6">
        <v>221</v>
      </c>
      <c r="AB110" s="6">
        <v>1.1515150999999999</v>
      </c>
      <c r="AC110" s="6">
        <v>1.4074074000000001</v>
      </c>
      <c r="AD110" s="6" t="b">
        <v>1</v>
      </c>
      <c r="AE110" s="6" t="b">
        <v>0</v>
      </c>
      <c r="AF110" s="6" t="b">
        <v>0</v>
      </c>
      <c r="AH110" s="6">
        <v>257</v>
      </c>
      <c r="AL110" s="6">
        <v>75</v>
      </c>
      <c r="AM110" s="6">
        <v>88</v>
      </c>
      <c r="AO110" s="6">
        <v>52</v>
      </c>
      <c r="AP110" s="6">
        <v>155</v>
      </c>
      <c r="AQ110" s="6">
        <v>124</v>
      </c>
      <c r="AR110" s="6">
        <v>138</v>
      </c>
      <c r="AS110" s="6">
        <v>144</v>
      </c>
      <c r="AT110" s="6">
        <v>154</v>
      </c>
      <c r="AU110" s="6">
        <v>158</v>
      </c>
      <c r="AV110" s="6">
        <v>163</v>
      </c>
      <c r="AW110" s="6">
        <v>190</v>
      </c>
      <c r="AX110" s="6">
        <v>1200</v>
      </c>
      <c r="AY110" s="6">
        <v>1767</v>
      </c>
      <c r="AZ110" s="6">
        <v>453</v>
      </c>
      <c r="BA110" s="6">
        <v>914</v>
      </c>
      <c r="BB110" s="6">
        <v>454</v>
      </c>
      <c r="BC110" s="6">
        <v>142</v>
      </c>
      <c r="BD110" s="6">
        <v>0</v>
      </c>
      <c r="BE110" s="6">
        <v>2641</v>
      </c>
      <c r="BF110" s="6">
        <v>481</v>
      </c>
      <c r="BG110" s="6">
        <v>804</v>
      </c>
      <c r="BH110" s="6">
        <v>834</v>
      </c>
      <c r="BI110" s="6">
        <v>170</v>
      </c>
      <c r="BJ110" s="6">
        <v>0</v>
      </c>
      <c r="BK110" s="6">
        <v>0</v>
      </c>
      <c r="BL110" s="6">
        <v>982</v>
      </c>
      <c r="BM110" s="6">
        <v>90</v>
      </c>
      <c r="BN110" s="6" t="b">
        <v>0</v>
      </c>
      <c r="BO110" s="6" t="b">
        <v>0</v>
      </c>
      <c r="BP110" s="6" t="b">
        <v>0</v>
      </c>
      <c r="BQ110" s="6">
        <v>4934</v>
      </c>
      <c r="BR110" s="6">
        <v>1200</v>
      </c>
      <c r="BS110" s="6">
        <v>600</v>
      </c>
      <c r="BT110" s="6">
        <v>25</v>
      </c>
      <c r="BU110" s="6">
        <v>161</v>
      </c>
      <c r="BW110" s="6">
        <v>221</v>
      </c>
      <c r="BX110" s="6">
        <v>216</v>
      </c>
      <c r="BY110" s="6">
        <v>18348</v>
      </c>
      <c r="BZ110" s="6">
        <v>311</v>
      </c>
      <c r="CA110" s="6" t="s">
        <v>555</v>
      </c>
      <c r="CB110" s="6" t="s">
        <v>550</v>
      </c>
      <c r="CD110" s="6" t="s">
        <v>196</v>
      </c>
      <c r="CE110" s="25">
        <v>1.91831E+18</v>
      </c>
    </row>
    <row r="111" spans="1:83" x14ac:dyDescent="0.2">
      <c r="A111" s="6" t="s">
        <v>556</v>
      </c>
      <c r="B111" s="24">
        <v>45852.226087962961</v>
      </c>
      <c r="C111" s="6" t="s">
        <v>557</v>
      </c>
      <c r="D111" s="6" t="s">
        <v>193</v>
      </c>
      <c r="E111" s="6">
        <v>5671</v>
      </c>
      <c r="F111" s="6">
        <v>25393.78</v>
      </c>
      <c r="G111" s="6">
        <v>5942</v>
      </c>
      <c r="H111" s="6">
        <v>240</v>
      </c>
      <c r="I111" s="6">
        <v>10.74</v>
      </c>
      <c r="J111" s="6">
        <v>4.4349999999999996</v>
      </c>
      <c r="K111" s="6" t="b">
        <v>1</v>
      </c>
      <c r="L111" s="6">
        <v>140</v>
      </c>
      <c r="M111" s="6">
        <v>114</v>
      </c>
      <c r="N111" s="6"/>
      <c r="O111" s="6">
        <v>777</v>
      </c>
      <c r="P111" s="6"/>
      <c r="Q111" s="6"/>
      <c r="R111" s="6"/>
      <c r="S111" s="6"/>
      <c r="T111" s="6">
        <v>58.140189999999997</v>
      </c>
      <c r="U111" s="6">
        <v>54</v>
      </c>
      <c r="X111" s="6">
        <v>4.4778310000000001</v>
      </c>
      <c r="Y111" s="6">
        <v>52.478230000000003</v>
      </c>
      <c r="Z111" s="6">
        <v>45.387774999999998</v>
      </c>
      <c r="AA111" s="6">
        <v>208</v>
      </c>
      <c r="AB111" s="6"/>
      <c r="AC111" s="6"/>
      <c r="AD111" s="6"/>
      <c r="AE111" s="6" t="b">
        <v>0</v>
      </c>
      <c r="AF111" s="6" t="b">
        <v>0</v>
      </c>
      <c r="AH111" s="6">
        <v>257</v>
      </c>
      <c r="AL111" s="6"/>
      <c r="AM111" s="6">
        <v>54</v>
      </c>
      <c r="AO111" s="6">
        <v>52</v>
      </c>
      <c r="AP111" s="6">
        <v>155</v>
      </c>
      <c r="AQ111" s="6">
        <v>124</v>
      </c>
      <c r="AR111" s="6">
        <v>138</v>
      </c>
      <c r="AS111" s="6">
        <v>144</v>
      </c>
      <c r="AT111" s="6">
        <v>154</v>
      </c>
      <c r="AU111" s="6">
        <v>158</v>
      </c>
      <c r="AV111" s="6">
        <v>163</v>
      </c>
      <c r="AW111" s="6">
        <v>190</v>
      </c>
      <c r="AX111" s="6">
        <v>4731</v>
      </c>
      <c r="AY111" s="6">
        <v>944</v>
      </c>
      <c r="AZ111" s="6">
        <v>51</v>
      </c>
      <c r="BA111" s="6">
        <v>0</v>
      </c>
      <c r="BB111" s="6">
        <v>0</v>
      </c>
      <c r="BC111" s="6">
        <v>0</v>
      </c>
      <c r="BD111" s="6">
        <v>0</v>
      </c>
      <c r="BE111" s="6"/>
      <c r="BF111" s="6"/>
      <c r="BG111" s="6"/>
      <c r="BH111" s="6"/>
      <c r="BI111" s="6"/>
      <c r="BJ111" s="6"/>
      <c r="BK111" s="6"/>
      <c r="BL111" s="6"/>
      <c r="BM111" s="6">
        <v>90</v>
      </c>
      <c r="BN111" s="6" t="b">
        <v>0</v>
      </c>
      <c r="BO111" s="6" t="b">
        <v>0</v>
      </c>
      <c r="BP111" s="6" t="b">
        <v>0</v>
      </c>
      <c r="BQ111" s="6">
        <v>5751</v>
      </c>
      <c r="BR111" s="6">
        <v>1200</v>
      </c>
      <c r="BS111" s="6">
        <v>600</v>
      </c>
      <c r="BT111" s="6"/>
      <c r="BU111" s="6"/>
      <c r="BW111" s="6"/>
      <c r="BX111" s="6"/>
      <c r="BY111" s="6"/>
      <c r="BZ111" s="6"/>
      <c r="CA111" s="6" t="s">
        <v>558</v>
      </c>
      <c r="CB111" s="6" t="s">
        <v>559</v>
      </c>
      <c r="CD111" s="6" t="s">
        <v>196</v>
      </c>
      <c r="CE111" s="25">
        <v>19729865326</v>
      </c>
    </row>
    <row r="112" spans="1:83" x14ac:dyDescent="0.2">
      <c r="A112" s="6" t="s">
        <v>560</v>
      </c>
      <c r="B112" s="24">
        <v>45850.328703703701</v>
      </c>
      <c r="C112" s="6" t="s">
        <v>561</v>
      </c>
      <c r="D112" s="6" t="s">
        <v>208</v>
      </c>
      <c r="E112" s="6">
        <v>5342</v>
      </c>
      <c r="F112" s="6">
        <v>44040.13</v>
      </c>
      <c r="G112" s="6">
        <v>5398</v>
      </c>
      <c r="H112" s="6">
        <v>173</v>
      </c>
      <c r="I112" s="6">
        <v>13.8</v>
      </c>
      <c r="J112" s="6">
        <v>8.234</v>
      </c>
      <c r="K112" s="6" t="b">
        <v>1</v>
      </c>
      <c r="L112" s="6">
        <v>159</v>
      </c>
      <c r="M112" s="6">
        <v>134</v>
      </c>
      <c r="N112" s="6">
        <v>72.511086000000006</v>
      </c>
      <c r="O112" s="6">
        <v>862</v>
      </c>
      <c r="P112" s="6" t="b">
        <v>1</v>
      </c>
      <c r="Q112" s="6">
        <v>169</v>
      </c>
      <c r="R112" s="6">
        <v>184</v>
      </c>
      <c r="S112" s="6">
        <v>903325</v>
      </c>
      <c r="T112" s="6">
        <v>71.595330000000004</v>
      </c>
      <c r="U112" s="6">
        <v>76</v>
      </c>
      <c r="X112" s="6">
        <v>8.2441270000000006</v>
      </c>
      <c r="Y112" s="6">
        <v>60.267467000000003</v>
      </c>
      <c r="Z112" s="6">
        <v>46.268894000000003</v>
      </c>
      <c r="AA112" s="6">
        <v>208</v>
      </c>
      <c r="AB112" s="6">
        <v>1.0887574</v>
      </c>
      <c r="AC112" s="6">
        <v>1.3731344000000001</v>
      </c>
      <c r="AD112" s="6" t="b">
        <v>1</v>
      </c>
      <c r="AE112" s="6" t="b">
        <v>0</v>
      </c>
      <c r="AF112" s="6" t="b">
        <v>0</v>
      </c>
      <c r="AH112" s="6">
        <v>257</v>
      </c>
      <c r="AL112" s="6">
        <v>76</v>
      </c>
      <c r="AM112" s="6">
        <v>90</v>
      </c>
      <c r="AO112" s="6">
        <v>52</v>
      </c>
      <c r="AP112" s="6">
        <v>155</v>
      </c>
      <c r="AQ112" s="6">
        <v>124</v>
      </c>
      <c r="AR112" s="6">
        <v>138</v>
      </c>
      <c r="AS112" s="6">
        <v>144</v>
      </c>
      <c r="AT112" s="6">
        <v>154</v>
      </c>
      <c r="AU112" s="6">
        <v>158</v>
      </c>
      <c r="AV112" s="6">
        <v>163</v>
      </c>
      <c r="AW112" s="6">
        <v>190</v>
      </c>
      <c r="AX112" s="6">
        <v>666</v>
      </c>
      <c r="AY112" s="6">
        <v>3119</v>
      </c>
      <c r="AZ112" s="6">
        <v>890</v>
      </c>
      <c r="BA112" s="6">
        <v>497</v>
      </c>
      <c r="BB112" s="6">
        <v>145</v>
      </c>
      <c r="BC112" s="6">
        <v>25</v>
      </c>
      <c r="BD112" s="6">
        <v>0</v>
      </c>
      <c r="BE112" s="6">
        <v>863</v>
      </c>
      <c r="BF112" s="6">
        <v>3248</v>
      </c>
      <c r="BG112" s="6">
        <v>352</v>
      </c>
      <c r="BH112" s="6">
        <v>785</v>
      </c>
      <c r="BI112" s="6">
        <v>94</v>
      </c>
      <c r="BJ112" s="6">
        <v>0</v>
      </c>
      <c r="BK112" s="6">
        <v>0</v>
      </c>
      <c r="BL112" s="6">
        <v>758</v>
      </c>
      <c r="BM112" s="6">
        <v>90</v>
      </c>
      <c r="BN112" s="6" t="b">
        <v>0</v>
      </c>
      <c r="BO112" s="6" t="b">
        <v>0</v>
      </c>
      <c r="BP112" s="6" t="b">
        <v>0</v>
      </c>
      <c r="BQ112" s="6">
        <v>5345</v>
      </c>
      <c r="BR112" s="6">
        <v>1200</v>
      </c>
      <c r="BS112" s="6">
        <v>600</v>
      </c>
      <c r="BT112" s="6">
        <v>14</v>
      </c>
      <c r="BU112" s="6">
        <v>157</v>
      </c>
      <c r="BW112" s="6">
        <v>186</v>
      </c>
      <c r="BX112" s="6">
        <v>183</v>
      </c>
      <c r="BY112" s="6">
        <v>13847</v>
      </c>
      <c r="BZ112" s="6">
        <v>284</v>
      </c>
      <c r="CA112" s="6" t="s">
        <v>562</v>
      </c>
      <c r="CB112" s="6" t="s">
        <v>559</v>
      </c>
      <c r="CD112" s="6" t="s">
        <v>196</v>
      </c>
      <c r="CE112" s="25">
        <v>1.91612E+18</v>
      </c>
    </row>
    <row r="113" spans="1:83" x14ac:dyDescent="0.2">
      <c r="A113" s="6" t="s">
        <v>563</v>
      </c>
      <c r="B113" s="24">
        <v>45849.224861111114</v>
      </c>
      <c r="C113" s="6" t="s">
        <v>564</v>
      </c>
      <c r="D113" s="6" t="s">
        <v>193</v>
      </c>
      <c r="E113" s="6">
        <v>4089</v>
      </c>
      <c r="F113" s="6">
        <v>17012.27</v>
      </c>
      <c r="G113" s="6">
        <v>4214</v>
      </c>
      <c r="H113" s="6">
        <v>128</v>
      </c>
      <c r="I113" s="6">
        <v>11.85</v>
      </c>
      <c r="J113" s="6">
        <v>4.1580000000000004</v>
      </c>
      <c r="K113" s="6" t="b">
        <v>1</v>
      </c>
      <c r="L113" s="6">
        <v>130</v>
      </c>
      <c r="M113" s="6">
        <v>108</v>
      </c>
      <c r="N113" s="6"/>
      <c r="O113" s="6">
        <v>520</v>
      </c>
      <c r="P113" s="6"/>
      <c r="Q113" s="6"/>
      <c r="R113" s="6"/>
      <c r="S113" s="6"/>
      <c r="T113" s="6">
        <v>53.065407</v>
      </c>
      <c r="U113" s="6">
        <v>32</v>
      </c>
      <c r="X113" s="6">
        <v>4.1604960000000002</v>
      </c>
      <c r="Y113" s="6">
        <v>57.851500000000001</v>
      </c>
      <c r="Z113" s="6">
        <v>45.552517000000002</v>
      </c>
      <c r="AA113" s="6">
        <v>208</v>
      </c>
      <c r="AB113" s="6"/>
      <c r="AC113" s="6"/>
      <c r="AD113" s="6"/>
      <c r="AE113" s="6" t="b">
        <v>0</v>
      </c>
      <c r="AF113" s="6" t="b">
        <v>0</v>
      </c>
      <c r="AH113" s="6">
        <v>257</v>
      </c>
      <c r="AL113" s="6"/>
      <c r="AM113" s="6">
        <v>32</v>
      </c>
      <c r="AO113" s="6">
        <v>52</v>
      </c>
      <c r="AP113" s="6">
        <v>155</v>
      </c>
      <c r="AQ113" s="6">
        <v>124</v>
      </c>
      <c r="AR113" s="6">
        <v>138</v>
      </c>
      <c r="AS113" s="6">
        <v>144</v>
      </c>
      <c r="AT113" s="6">
        <v>154</v>
      </c>
      <c r="AU113" s="6">
        <v>158</v>
      </c>
      <c r="AV113" s="6">
        <v>163</v>
      </c>
      <c r="AW113" s="6">
        <v>190</v>
      </c>
      <c r="AX113" s="6">
        <v>4000</v>
      </c>
      <c r="AY113" s="6">
        <v>92</v>
      </c>
      <c r="AZ113" s="6">
        <v>0</v>
      </c>
      <c r="BA113" s="6">
        <v>0</v>
      </c>
      <c r="BB113" s="6">
        <v>0</v>
      </c>
      <c r="BC113" s="6">
        <v>0</v>
      </c>
      <c r="BD113" s="6">
        <v>0</v>
      </c>
      <c r="BE113" s="6"/>
      <c r="BF113" s="6"/>
      <c r="BG113" s="6"/>
      <c r="BH113" s="6"/>
      <c r="BI113" s="6"/>
      <c r="BJ113" s="6"/>
      <c r="BK113" s="6"/>
      <c r="BL113" s="6"/>
      <c r="BM113" s="6">
        <v>90</v>
      </c>
      <c r="BN113" s="6" t="b">
        <v>0</v>
      </c>
      <c r="BO113" s="6" t="b">
        <v>0</v>
      </c>
      <c r="BP113" s="6" t="b">
        <v>0</v>
      </c>
      <c r="BQ113" s="6">
        <v>4091</v>
      </c>
      <c r="BR113" s="6">
        <v>1200</v>
      </c>
      <c r="BS113" s="6">
        <v>600</v>
      </c>
      <c r="BW113" s="6"/>
      <c r="BX113" s="6"/>
      <c r="BY113" s="6"/>
      <c r="BZ113" s="6"/>
      <c r="CA113" s="6" t="s">
        <v>565</v>
      </c>
      <c r="CB113" s="6" t="s">
        <v>566</v>
      </c>
      <c r="CD113" s="6" t="s">
        <v>196</v>
      </c>
      <c r="CE113" s="25">
        <v>19699593988</v>
      </c>
    </row>
    <row r="114" spans="1:83" x14ac:dyDescent="0.2">
      <c r="A114" s="6" t="s">
        <v>567</v>
      </c>
      <c r="B114" s="24">
        <v>45848.408067129632</v>
      </c>
      <c r="C114" s="6" t="s">
        <v>391</v>
      </c>
      <c r="D114" s="6" t="s">
        <v>208</v>
      </c>
      <c r="E114" s="6">
        <v>2409</v>
      </c>
      <c r="F114" s="6">
        <v>15312.66</v>
      </c>
      <c r="G114" s="6">
        <v>2411</v>
      </c>
      <c r="H114" s="6">
        <v>73</v>
      </c>
      <c r="I114" s="6">
        <v>12.76</v>
      </c>
      <c r="J114" s="6">
        <v>6.3479999999999999</v>
      </c>
      <c r="K114" s="6" t="b">
        <v>1</v>
      </c>
      <c r="L114" s="6">
        <v>126</v>
      </c>
      <c r="M114" s="6">
        <v>108</v>
      </c>
      <c r="N114" s="6">
        <v>72.150959999999998</v>
      </c>
      <c r="O114" s="6">
        <v>204</v>
      </c>
      <c r="P114" s="6" t="b">
        <v>1</v>
      </c>
      <c r="Q114" s="6">
        <v>89</v>
      </c>
      <c r="R114" s="6">
        <v>89</v>
      </c>
      <c r="S114" s="6">
        <v>214475</v>
      </c>
      <c r="T114" s="6">
        <v>34.630352000000002</v>
      </c>
      <c r="U114" s="6">
        <v>8</v>
      </c>
      <c r="X114" s="6">
        <v>6.3564385999999997</v>
      </c>
      <c r="Y114" s="6">
        <v>61.821390000000001</v>
      </c>
      <c r="Z114" s="6">
        <v>45.879066000000002</v>
      </c>
      <c r="AA114" s="6">
        <v>208</v>
      </c>
      <c r="AB114" s="6">
        <v>1</v>
      </c>
      <c r="AC114" s="6">
        <v>0.82407410000000003</v>
      </c>
      <c r="AD114" s="6" t="b">
        <v>1</v>
      </c>
      <c r="AE114" s="6" t="b">
        <v>0</v>
      </c>
      <c r="AF114" s="6" t="b">
        <v>0</v>
      </c>
      <c r="AH114" s="6">
        <v>257</v>
      </c>
      <c r="AL114" s="6">
        <v>8</v>
      </c>
      <c r="AM114" s="6">
        <v>19</v>
      </c>
      <c r="AO114" s="6">
        <v>52</v>
      </c>
      <c r="AP114" s="6">
        <v>155</v>
      </c>
      <c r="AQ114" s="6">
        <v>124</v>
      </c>
      <c r="AR114" s="6">
        <v>138</v>
      </c>
      <c r="AS114" s="6">
        <v>144</v>
      </c>
      <c r="AT114" s="6">
        <v>154</v>
      </c>
      <c r="AU114" s="6">
        <v>158</v>
      </c>
      <c r="AV114" s="6">
        <v>163</v>
      </c>
      <c r="AW114" s="6">
        <v>190</v>
      </c>
      <c r="AX114" s="6">
        <v>2389</v>
      </c>
      <c r="AY114" s="6">
        <v>20</v>
      </c>
      <c r="AZ114" s="6">
        <v>0</v>
      </c>
      <c r="BA114" s="6">
        <v>0</v>
      </c>
      <c r="BB114" s="6">
        <v>0</v>
      </c>
      <c r="BC114" s="6">
        <v>0</v>
      </c>
      <c r="BD114" s="6">
        <v>0</v>
      </c>
      <c r="BE114" s="6">
        <v>2409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90</v>
      </c>
      <c r="BN114" s="6" t="b">
        <v>0</v>
      </c>
      <c r="BO114" s="6" t="b">
        <v>0</v>
      </c>
      <c r="BP114" s="6" t="b">
        <v>0</v>
      </c>
      <c r="BQ114" s="6">
        <v>2410</v>
      </c>
      <c r="BR114" s="6">
        <v>0</v>
      </c>
      <c r="BS114" s="6">
        <v>0</v>
      </c>
      <c r="BW114" s="6">
        <v>87</v>
      </c>
      <c r="BX114" s="6">
        <v>86</v>
      </c>
      <c r="BY114" s="6">
        <v>6574</v>
      </c>
      <c r="BZ114" s="6">
        <v>144</v>
      </c>
      <c r="CA114" s="6" t="s">
        <v>568</v>
      </c>
      <c r="CB114" s="6" t="s">
        <v>566</v>
      </c>
      <c r="CD114" s="6" t="s">
        <v>196</v>
      </c>
      <c r="CE114" s="25">
        <v>1.91473E+18</v>
      </c>
    </row>
    <row r="115" spans="1:83" x14ac:dyDescent="0.2">
      <c r="A115" s="6" t="s">
        <v>569</v>
      </c>
      <c r="B115" s="24">
        <v>45848.206331018519</v>
      </c>
      <c r="C115" s="6" t="s">
        <v>570</v>
      </c>
      <c r="D115" s="6" t="s">
        <v>193</v>
      </c>
      <c r="E115" s="6">
        <v>15267</v>
      </c>
      <c r="F115" s="6">
        <v>67186.960000000006</v>
      </c>
      <c r="G115" s="6">
        <v>15940</v>
      </c>
      <c r="H115" s="6">
        <v>792</v>
      </c>
      <c r="I115" s="6">
        <v>12.522</v>
      </c>
      <c r="J115" s="6">
        <v>4.3940000000000001</v>
      </c>
      <c r="K115" s="6" t="b">
        <v>1</v>
      </c>
      <c r="L115" s="6">
        <v>149</v>
      </c>
      <c r="M115" s="6">
        <v>124</v>
      </c>
      <c r="N115" s="6"/>
      <c r="O115" s="6">
        <v>2144</v>
      </c>
      <c r="P115" s="6"/>
      <c r="Q115" s="6"/>
      <c r="R115" s="6"/>
      <c r="S115" s="6"/>
      <c r="T115" s="6">
        <v>66.325640000000007</v>
      </c>
      <c r="U115" s="6">
        <v>188</v>
      </c>
      <c r="X115" s="6">
        <v>4.4007963999999999</v>
      </c>
      <c r="Y115" s="6">
        <v>61.821390000000001</v>
      </c>
      <c r="Z115" s="6">
        <v>45.879066000000002</v>
      </c>
      <c r="AA115" s="6">
        <v>208</v>
      </c>
      <c r="AB115" s="6"/>
      <c r="AC115" s="6"/>
      <c r="AD115" s="6"/>
      <c r="AE115" s="6" t="b">
        <v>0</v>
      </c>
      <c r="AF115" s="6" t="b">
        <v>0</v>
      </c>
      <c r="AH115" s="6">
        <v>257</v>
      </c>
      <c r="AL115" s="6"/>
      <c r="AM115" s="6">
        <v>188</v>
      </c>
      <c r="AO115" s="6">
        <v>52</v>
      </c>
      <c r="AP115" s="6">
        <v>155</v>
      </c>
      <c r="AQ115" s="6">
        <v>124</v>
      </c>
      <c r="AR115" s="6">
        <v>138</v>
      </c>
      <c r="AS115" s="6">
        <v>144</v>
      </c>
      <c r="AT115" s="6">
        <v>154</v>
      </c>
      <c r="AU115" s="6">
        <v>158</v>
      </c>
      <c r="AV115" s="6">
        <v>163</v>
      </c>
      <c r="AW115" s="6">
        <v>190</v>
      </c>
      <c r="AX115" s="6">
        <v>8590</v>
      </c>
      <c r="AY115" s="6">
        <v>5365</v>
      </c>
      <c r="AZ115" s="6">
        <v>1095</v>
      </c>
      <c r="BA115" s="6">
        <v>242</v>
      </c>
      <c r="BB115" s="6">
        <v>0</v>
      </c>
      <c r="BC115" s="6">
        <v>0</v>
      </c>
      <c r="BD115" s="6">
        <v>0</v>
      </c>
      <c r="BE115" s="6"/>
      <c r="BF115" s="6"/>
      <c r="BG115" s="6"/>
      <c r="BH115" s="6"/>
      <c r="BI115" s="6"/>
      <c r="BJ115" s="6"/>
      <c r="BK115" s="6"/>
      <c r="BL115" s="6"/>
      <c r="BM115" s="6">
        <v>90</v>
      </c>
      <c r="BN115" s="6" t="b">
        <v>0</v>
      </c>
      <c r="BO115" s="6" t="b">
        <v>0</v>
      </c>
      <c r="BP115" s="6" t="b">
        <v>0</v>
      </c>
      <c r="BQ115" s="6">
        <v>15385</v>
      </c>
      <c r="BR115" s="6">
        <v>1200</v>
      </c>
      <c r="BS115" s="6">
        <v>600</v>
      </c>
      <c r="BW115" s="6"/>
      <c r="BX115" s="6"/>
      <c r="BY115" s="6"/>
      <c r="BZ115" s="6"/>
      <c r="CA115" s="6" t="s">
        <v>571</v>
      </c>
      <c r="CB115" s="6" t="s">
        <v>566</v>
      </c>
      <c r="CD115" s="6" t="s">
        <v>196</v>
      </c>
      <c r="CE115" s="25">
        <v>19691014846</v>
      </c>
    </row>
    <row r="116" spans="1:83" x14ac:dyDescent="0.2">
      <c r="A116" s="6" t="s">
        <v>572</v>
      </c>
      <c r="B116" s="24">
        <v>45847.368680555555</v>
      </c>
      <c r="C116" s="6" t="s">
        <v>573</v>
      </c>
      <c r="D116" s="6" t="s">
        <v>208</v>
      </c>
      <c r="E116" s="6">
        <v>5118</v>
      </c>
      <c r="F116" s="6">
        <v>37631.199999999997</v>
      </c>
      <c r="G116" s="6">
        <v>5210</v>
      </c>
      <c r="H116" s="6">
        <v>143</v>
      </c>
      <c r="I116" s="6">
        <v>14.548</v>
      </c>
      <c r="J116" s="6">
        <v>7.3440000000000003</v>
      </c>
      <c r="K116" s="6" t="b">
        <v>1</v>
      </c>
      <c r="L116" s="6">
        <v>154</v>
      </c>
      <c r="M116" s="6">
        <v>117</v>
      </c>
      <c r="N116" s="6">
        <v>74.305120000000002</v>
      </c>
      <c r="O116" s="6">
        <v>648</v>
      </c>
      <c r="P116" s="6" t="b">
        <v>1</v>
      </c>
      <c r="Q116" s="6">
        <v>133</v>
      </c>
      <c r="R116" s="6">
        <v>164</v>
      </c>
      <c r="S116" s="6">
        <v>680936</v>
      </c>
      <c r="T116" s="6">
        <v>63.813229999999997</v>
      </c>
      <c r="U116" s="6">
        <v>58</v>
      </c>
      <c r="X116" s="6">
        <v>7.352716</v>
      </c>
      <c r="Y116" s="6">
        <v>41.216250000000002</v>
      </c>
      <c r="Z116" s="6">
        <v>42.261868</v>
      </c>
      <c r="AA116" s="6">
        <v>208</v>
      </c>
      <c r="AB116" s="6">
        <v>1.2330827</v>
      </c>
      <c r="AC116" s="6">
        <v>1.4017094000000001</v>
      </c>
      <c r="AD116" s="6" t="b">
        <v>1</v>
      </c>
      <c r="AE116" s="6" t="b">
        <v>0</v>
      </c>
      <c r="AF116" s="6" t="b">
        <v>0</v>
      </c>
      <c r="AH116" s="6">
        <v>257</v>
      </c>
      <c r="AL116" s="6">
        <v>58</v>
      </c>
      <c r="AM116" s="6">
        <v>59</v>
      </c>
      <c r="AO116" s="6">
        <v>52</v>
      </c>
      <c r="AP116" s="6">
        <v>155</v>
      </c>
      <c r="AQ116" s="6">
        <v>124</v>
      </c>
      <c r="AR116" s="6">
        <v>138</v>
      </c>
      <c r="AS116" s="6">
        <v>144</v>
      </c>
      <c r="AT116" s="6">
        <v>154</v>
      </c>
      <c r="AU116" s="6">
        <v>158</v>
      </c>
      <c r="AV116" s="6">
        <v>163</v>
      </c>
      <c r="AW116" s="6">
        <v>190</v>
      </c>
      <c r="AX116" s="6">
        <v>3486</v>
      </c>
      <c r="AY116" s="6">
        <v>653</v>
      </c>
      <c r="AZ116" s="6">
        <v>392</v>
      </c>
      <c r="BA116" s="6">
        <v>587</v>
      </c>
      <c r="BB116" s="6">
        <v>0</v>
      </c>
      <c r="BC116" s="6">
        <v>0</v>
      </c>
      <c r="BD116" s="6">
        <v>0</v>
      </c>
      <c r="BE116" s="6">
        <v>3470</v>
      </c>
      <c r="BF116" s="6">
        <v>568</v>
      </c>
      <c r="BG116" s="6">
        <v>567</v>
      </c>
      <c r="BH116" s="6">
        <v>511</v>
      </c>
      <c r="BI116" s="6">
        <v>2</v>
      </c>
      <c r="BJ116" s="6">
        <v>0</v>
      </c>
      <c r="BK116" s="6">
        <v>0</v>
      </c>
      <c r="BL116" s="6">
        <v>520</v>
      </c>
      <c r="BM116" s="6">
        <v>90</v>
      </c>
      <c r="BN116" s="6" t="b">
        <v>0</v>
      </c>
      <c r="BO116" s="6" t="b">
        <v>0</v>
      </c>
      <c r="BP116" s="6" t="b">
        <v>0</v>
      </c>
      <c r="BQ116" s="6">
        <v>5134</v>
      </c>
      <c r="BR116" s="6">
        <v>1200</v>
      </c>
      <c r="BS116" s="6">
        <v>600</v>
      </c>
      <c r="BW116" s="6">
        <v>193</v>
      </c>
      <c r="BX116" s="6">
        <v>190</v>
      </c>
      <c r="BY116" s="6">
        <v>13386</v>
      </c>
      <c r="BZ116" s="6">
        <v>299</v>
      </c>
      <c r="CA116" s="6" t="s">
        <v>574</v>
      </c>
      <c r="CB116" s="6" t="s">
        <v>566</v>
      </c>
      <c r="CD116" s="6" t="s">
        <v>196</v>
      </c>
      <c r="CE116" s="25">
        <v>1.91398E+18</v>
      </c>
    </row>
    <row r="117" spans="1:83" x14ac:dyDescent="0.2">
      <c r="A117" s="6" t="s">
        <v>575</v>
      </c>
      <c r="B117" s="24">
        <v>45846.211215277777</v>
      </c>
      <c r="C117" s="6" t="s">
        <v>576</v>
      </c>
      <c r="D117" s="6" t="s">
        <v>193</v>
      </c>
      <c r="E117" s="6">
        <v>7319</v>
      </c>
      <c r="F117" s="6">
        <v>31911.29</v>
      </c>
      <c r="G117" s="6">
        <v>7586</v>
      </c>
      <c r="H117" s="6">
        <v>224</v>
      </c>
      <c r="I117" s="6">
        <v>11.327</v>
      </c>
      <c r="J117" s="6">
        <v>4.3559999999999999</v>
      </c>
      <c r="K117" s="6" t="b">
        <v>1</v>
      </c>
      <c r="L117" s="6">
        <v>133</v>
      </c>
      <c r="M117" s="6">
        <v>113</v>
      </c>
      <c r="N117" s="6"/>
      <c r="O117" s="6">
        <v>963</v>
      </c>
      <c r="P117" s="6"/>
      <c r="Q117" s="6"/>
      <c r="R117" s="6"/>
      <c r="S117" s="6"/>
      <c r="T117" s="6">
        <v>58.209539999999997</v>
      </c>
      <c r="U117" s="6">
        <v>69</v>
      </c>
      <c r="X117" s="6">
        <v>4.360061</v>
      </c>
      <c r="Y117" s="6">
        <v>38.638855</v>
      </c>
      <c r="Z117" s="6">
        <v>41.882652</v>
      </c>
      <c r="AA117" s="6">
        <v>208</v>
      </c>
      <c r="AB117" s="6"/>
      <c r="AC117" s="6"/>
      <c r="AD117" s="6"/>
      <c r="AE117" s="6" t="b">
        <v>0</v>
      </c>
      <c r="AF117" s="6" t="b">
        <v>0</v>
      </c>
      <c r="AH117" s="6">
        <v>257</v>
      </c>
      <c r="AK117" s="6"/>
      <c r="AL117" s="6"/>
      <c r="AM117" s="6">
        <v>69</v>
      </c>
      <c r="AN117" s="6"/>
      <c r="AO117" s="6">
        <v>52</v>
      </c>
      <c r="AP117" s="6">
        <v>155</v>
      </c>
      <c r="AQ117" s="6">
        <v>124</v>
      </c>
      <c r="AR117" s="6">
        <v>138</v>
      </c>
      <c r="AS117" s="6">
        <v>144</v>
      </c>
      <c r="AT117" s="6">
        <v>154</v>
      </c>
      <c r="AU117" s="6">
        <v>158</v>
      </c>
      <c r="AV117" s="6">
        <v>163</v>
      </c>
      <c r="AW117" s="6">
        <v>190</v>
      </c>
      <c r="AX117" s="6">
        <v>6653</v>
      </c>
      <c r="AY117" s="6">
        <v>673</v>
      </c>
      <c r="AZ117" s="6">
        <v>0</v>
      </c>
      <c r="BA117" s="6">
        <v>0</v>
      </c>
      <c r="BB117" s="6">
        <v>0</v>
      </c>
      <c r="BC117" s="6">
        <v>0</v>
      </c>
      <c r="BD117" s="6">
        <v>0</v>
      </c>
      <c r="BE117" s="6"/>
      <c r="BF117" s="6"/>
      <c r="BG117" s="6"/>
      <c r="BH117" s="6"/>
      <c r="BI117" s="6"/>
      <c r="BJ117" s="6"/>
      <c r="BK117" s="6"/>
      <c r="BL117" s="6"/>
      <c r="BM117" s="6">
        <v>90</v>
      </c>
      <c r="BN117" s="6" t="b">
        <v>0</v>
      </c>
      <c r="BO117" s="6" t="b">
        <v>0</v>
      </c>
      <c r="BP117" s="6" t="b">
        <v>0</v>
      </c>
      <c r="BQ117" s="6">
        <v>7331</v>
      </c>
      <c r="BR117" s="6">
        <v>1200</v>
      </c>
      <c r="BS117" s="6">
        <v>600</v>
      </c>
      <c r="BT117" s="6"/>
      <c r="BU117" s="6"/>
      <c r="BW117" s="6"/>
      <c r="BX117" s="6"/>
      <c r="BY117" s="6"/>
      <c r="BZ117" s="6"/>
      <c r="CA117" s="6" t="s">
        <v>577</v>
      </c>
      <c r="CB117" s="6" t="s">
        <v>578</v>
      </c>
      <c r="CD117" s="6" t="s">
        <v>196</v>
      </c>
      <c r="CE117" s="25">
        <v>19668777334</v>
      </c>
    </row>
    <row r="118" spans="1:83" x14ac:dyDescent="0.2">
      <c r="A118" s="6" t="s">
        <v>579</v>
      </c>
      <c r="B118" s="24">
        <v>45845.337870370371</v>
      </c>
      <c r="C118" s="6" t="s">
        <v>417</v>
      </c>
      <c r="D118" s="6" t="s">
        <v>208</v>
      </c>
      <c r="E118" s="6">
        <v>6002</v>
      </c>
      <c r="F118" s="6">
        <v>29729.91</v>
      </c>
      <c r="G118" s="6">
        <v>6004</v>
      </c>
      <c r="H118" s="6">
        <v>269</v>
      </c>
      <c r="I118" s="6">
        <v>13.699</v>
      </c>
      <c r="J118" s="6">
        <v>4.95</v>
      </c>
      <c r="K118" s="6" t="b">
        <v>1</v>
      </c>
      <c r="L118" s="6">
        <v>123</v>
      </c>
      <c r="M118" s="6">
        <v>102</v>
      </c>
      <c r="N118" s="6">
        <v>70.123024000000001</v>
      </c>
      <c r="O118" s="6">
        <v>608</v>
      </c>
      <c r="P118" s="6" t="b">
        <v>1</v>
      </c>
      <c r="Q118" s="6">
        <v>106</v>
      </c>
      <c r="R118" s="6">
        <v>110</v>
      </c>
      <c r="S118" s="6">
        <v>636961</v>
      </c>
      <c r="T118" s="6">
        <v>42.801555999999998</v>
      </c>
      <c r="U118" s="6">
        <v>31</v>
      </c>
      <c r="X118" s="6">
        <v>4.9533339999999999</v>
      </c>
      <c r="Y118" s="6">
        <v>33.976447999999998</v>
      </c>
      <c r="Z118" s="6">
        <v>41.22925</v>
      </c>
      <c r="AA118" s="6">
        <v>208</v>
      </c>
      <c r="AB118" s="6">
        <v>1.0377358000000001</v>
      </c>
      <c r="AC118" s="6">
        <v>1.0784313999999999</v>
      </c>
      <c r="AD118" s="6" t="b">
        <v>1</v>
      </c>
      <c r="AE118" s="6" t="b">
        <v>0</v>
      </c>
      <c r="AF118" s="6" t="b">
        <v>0</v>
      </c>
      <c r="AH118" s="6">
        <v>257</v>
      </c>
      <c r="AK118" s="6"/>
      <c r="AL118" s="6">
        <v>31</v>
      </c>
      <c r="AM118" s="6">
        <v>39</v>
      </c>
      <c r="AN118" s="6"/>
      <c r="AO118" s="6">
        <v>52</v>
      </c>
      <c r="AP118" s="6">
        <v>155</v>
      </c>
      <c r="AQ118" s="6">
        <v>124</v>
      </c>
      <c r="AR118" s="6">
        <v>138</v>
      </c>
      <c r="AS118" s="6">
        <v>144</v>
      </c>
      <c r="AT118" s="6">
        <v>154</v>
      </c>
      <c r="AU118" s="6">
        <v>158</v>
      </c>
      <c r="AV118" s="6">
        <v>163</v>
      </c>
      <c r="AW118" s="6">
        <v>190</v>
      </c>
      <c r="AX118" s="6">
        <v>6002</v>
      </c>
      <c r="AY118" s="6">
        <v>0</v>
      </c>
      <c r="AZ118" s="6">
        <v>0</v>
      </c>
      <c r="BA118" s="6">
        <v>0</v>
      </c>
      <c r="BB118" s="6">
        <v>0</v>
      </c>
      <c r="BC118" s="6">
        <v>0</v>
      </c>
      <c r="BD118" s="6">
        <v>0</v>
      </c>
      <c r="BE118" s="6">
        <v>5981</v>
      </c>
      <c r="BF118" s="6">
        <v>21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90</v>
      </c>
      <c r="BN118" s="6" t="b">
        <v>0</v>
      </c>
      <c r="BO118" s="6" t="b">
        <v>0</v>
      </c>
      <c r="BP118" s="6" t="b">
        <v>0</v>
      </c>
      <c r="BQ118" s="6">
        <v>6003</v>
      </c>
      <c r="BR118" s="6">
        <v>1200</v>
      </c>
      <c r="BS118" s="6">
        <v>600</v>
      </c>
      <c r="BT118" s="6"/>
      <c r="BU118" s="6"/>
      <c r="BW118" s="6">
        <v>113</v>
      </c>
      <c r="BX118" s="6">
        <v>111</v>
      </c>
      <c r="BY118" s="6">
        <v>8476</v>
      </c>
      <c r="BZ118" s="6">
        <v>164</v>
      </c>
      <c r="CA118" s="6" t="s">
        <v>580</v>
      </c>
      <c r="CB118" s="6" t="s">
        <v>578</v>
      </c>
      <c r="CD118" s="6" t="s">
        <v>196</v>
      </c>
      <c r="CE118" s="25">
        <v>1.91251E+18</v>
      </c>
    </row>
    <row r="119" spans="1:83" x14ac:dyDescent="0.2">
      <c r="A119" s="6" t="s">
        <v>581</v>
      </c>
      <c r="B119" s="24">
        <v>45844.29179398148</v>
      </c>
      <c r="C119" s="6" t="s">
        <v>582</v>
      </c>
      <c r="D119" s="6" t="s">
        <v>199</v>
      </c>
      <c r="E119" s="6">
        <v>1948</v>
      </c>
      <c r="F119" s="6">
        <v>4974.66</v>
      </c>
      <c r="G119" s="6">
        <v>1954</v>
      </c>
      <c r="H119" s="6">
        <v>330</v>
      </c>
      <c r="I119" s="6">
        <v>2.911</v>
      </c>
      <c r="J119" s="6">
        <v>2.5459999999999998</v>
      </c>
      <c r="K119" s="6" t="b">
        <v>1</v>
      </c>
      <c r="L119" s="6">
        <v>170</v>
      </c>
      <c r="M119" s="6">
        <v>152</v>
      </c>
      <c r="N119" s="6">
        <v>84.044640000000001</v>
      </c>
      <c r="O119" s="6">
        <v>468</v>
      </c>
      <c r="P119" s="6"/>
      <c r="Q119" s="6"/>
      <c r="R119" s="6"/>
      <c r="S119" s="6"/>
      <c r="T119" s="6">
        <v>87.988265999999996</v>
      </c>
      <c r="U119" s="6">
        <v>42</v>
      </c>
      <c r="X119" s="6">
        <v>2.5537269999999999</v>
      </c>
      <c r="Y119" s="6">
        <v>34.433525000000003</v>
      </c>
      <c r="Z119" s="6">
        <v>41.475726999999999</v>
      </c>
      <c r="AA119" s="6"/>
      <c r="AB119" s="6"/>
      <c r="AC119" s="6"/>
      <c r="AD119" s="6" t="b">
        <v>1</v>
      </c>
      <c r="AE119" s="6" t="b">
        <v>0</v>
      </c>
      <c r="AF119" s="6" t="b">
        <v>0</v>
      </c>
      <c r="AH119" s="6">
        <v>200</v>
      </c>
      <c r="AK119" s="6">
        <v>2.2222222999999999</v>
      </c>
      <c r="AL119" s="6"/>
      <c r="AM119" s="6">
        <v>42</v>
      </c>
      <c r="AN119" s="6">
        <v>71</v>
      </c>
      <c r="AO119" s="6">
        <v>52</v>
      </c>
      <c r="AP119" s="6">
        <v>163</v>
      </c>
      <c r="AQ119" s="6">
        <v>137</v>
      </c>
      <c r="AR119" s="6">
        <v>145</v>
      </c>
      <c r="AS119" s="6">
        <v>153</v>
      </c>
      <c r="AT119" s="6">
        <v>162</v>
      </c>
      <c r="AU119" s="6">
        <v>166</v>
      </c>
      <c r="AV119" s="6">
        <v>171</v>
      </c>
      <c r="AW119" s="6">
        <v>175</v>
      </c>
      <c r="AX119" s="6">
        <v>40</v>
      </c>
      <c r="AY119" s="6">
        <v>178</v>
      </c>
      <c r="AZ119" s="6">
        <v>922</v>
      </c>
      <c r="BA119" s="6">
        <v>697</v>
      </c>
      <c r="BB119" s="6">
        <v>39</v>
      </c>
      <c r="BC119" s="6">
        <v>72</v>
      </c>
      <c r="BD119" s="6">
        <v>0</v>
      </c>
      <c r="BE119" s="6"/>
      <c r="BF119" s="6"/>
      <c r="BG119" s="6"/>
      <c r="BH119" s="6"/>
      <c r="BI119" s="6"/>
      <c r="BJ119" s="6"/>
      <c r="BK119" s="6"/>
      <c r="BL119" s="6"/>
      <c r="BM119" s="6">
        <v>90</v>
      </c>
      <c r="BN119" s="6" t="b">
        <v>0</v>
      </c>
      <c r="BO119" s="6" t="b">
        <v>0</v>
      </c>
      <c r="BP119" s="6" t="b">
        <v>0</v>
      </c>
      <c r="BQ119" s="6">
        <v>1953</v>
      </c>
      <c r="BR119" s="6">
        <v>300</v>
      </c>
      <c r="BS119" s="6">
        <v>300</v>
      </c>
      <c r="BT119" s="6">
        <v>17</v>
      </c>
      <c r="BU119" s="6">
        <v>169</v>
      </c>
      <c r="BW119" s="6"/>
      <c r="BX119" s="6"/>
      <c r="BY119" s="6"/>
      <c r="BZ119" s="6"/>
      <c r="CA119" s="6" t="s">
        <v>583</v>
      </c>
      <c r="CB119" s="6" t="s">
        <v>525</v>
      </c>
      <c r="CD119" s="6" t="s">
        <v>196</v>
      </c>
      <c r="CE119" s="25">
        <v>19651235963</v>
      </c>
    </row>
    <row r="120" spans="1:83" x14ac:dyDescent="0.2">
      <c r="A120" s="6" t="s">
        <v>584</v>
      </c>
      <c r="B120" s="24">
        <v>45843.320601851854</v>
      </c>
      <c r="C120" s="6" t="s">
        <v>585</v>
      </c>
      <c r="D120" s="6" t="s">
        <v>208</v>
      </c>
      <c r="E120" s="6">
        <v>4506</v>
      </c>
      <c r="F120" s="6">
        <v>33876.04</v>
      </c>
      <c r="G120" s="6">
        <v>4511</v>
      </c>
      <c r="H120" s="6">
        <v>188</v>
      </c>
      <c r="I120" s="6">
        <v>14.54</v>
      </c>
      <c r="J120" s="6">
        <v>7.5110000000000001</v>
      </c>
      <c r="K120" s="6" t="b">
        <v>1</v>
      </c>
      <c r="L120" s="6">
        <v>159</v>
      </c>
      <c r="M120" s="6">
        <v>133</v>
      </c>
      <c r="N120" s="6">
        <v>64.705635000000001</v>
      </c>
      <c r="O120" s="6">
        <v>599</v>
      </c>
      <c r="P120" s="6" t="b">
        <v>1</v>
      </c>
      <c r="Q120" s="6">
        <v>139</v>
      </c>
      <c r="R120" s="6">
        <v>198</v>
      </c>
      <c r="S120" s="6">
        <v>627450</v>
      </c>
      <c r="T120" s="6">
        <v>77.0428</v>
      </c>
      <c r="U120" s="6">
        <v>74</v>
      </c>
      <c r="X120" s="6">
        <v>7.5179850000000004</v>
      </c>
      <c r="Y120" s="6">
        <v>33.27158</v>
      </c>
      <c r="Z120" s="6">
        <v>41.463093000000001</v>
      </c>
      <c r="AA120" s="6">
        <v>208</v>
      </c>
      <c r="AB120" s="6">
        <v>1.4244604000000001</v>
      </c>
      <c r="AC120" s="6">
        <v>1.4887218</v>
      </c>
      <c r="AD120" s="6" t="b">
        <v>1</v>
      </c>
      <c r="AE120" s="6" t="b">
        <v>0</v>
      </c>
      <c r="AF120" s="6" t="b">
        <v>0</v>
      </c>
      <c r="AH120" s="6">
        <v>257</v>
      </c>
      <c r="AL120" s="6">
        <v>74</v>
      </c>
      <c r="AM120" s="6">
        <v>77</v>
      </c>
      <c r="AO120" s="6">
        <v>52</v>
      </c>
      <c r="AP120" s="6">
        <v>155</v>
      </c>
      <c r="AQ120" s="6">
        <v>124</v>
      </c>
      <c r="AR120" s="6">
        <v>138</v>
      </c>
      <c r="AS120" s="6">
        <v>144</v>
      </c>
      <c r="AT120" s="6">
        <v>154</v>
      </c>
      <c r="AU120" s="6">
        <v>158</v>
      </c>
      <c r="AV120" s="6">
        <v>163</v>
      </c>
      <c r="AW120" s="6">
        <v>190</v>
      </c>
      <c r="AX120" s="6">
        <v>1353</v>
      </c>
      <c r="AY120" s="6">
        <v>1329</v>
      </c>
      <c r="AZ120" s="6">
        <v>422</v>
      </c>
      <c r="BA120" s="6">
        <v>1244</v>
      </c>
      <c r="BB120" s="6">
        <v>155</v>
      </c>
      <c r="BC120" s="6">
        <v>3</v>
      </c>
      <c r="BD120" s="6">
        <v>0</v>
      </c>
      <c r="BE120" s="6">
        <v>2936</v>
      </c>
      <c r="BF120" s="6">
        <v>266</v>
      </c>
      <c r="BG120" s="6">
        <v>41</v>
      </c>
      <c r="BH120" s="6">
        <v>51</v>
      </c>
      <c r="BI120" s="6">
        <v>1212</v>
      </c>
      <c r="BJ120" s="6">
        <v>0</v>
      </c>
      <c r="BK120" s="6">
        <v>0</v>
      </c>
      <c r="BL120" s="6">
        <v>39</v>
      </c>
      <c r="BM120" s="6">
        <v>90</v>
      </c>
      <c r="BN120" s="6" t="b">
        <v>0</v>
      </c>
      <c r="BO120" s="6" t="b">
        <v>0</v>
      </c>
      <c r="BP120" s="6" t="b">
        <v>0</v>
      </c>
      <c r="BQ120" s="6">
        <v>4510</v>
      </c>
      <c r="BR120" s="6">
        <v>1200</v>
      </c>
      <c r="BS120" s="6">
        <v>600</v>
      </c>
      <c r="BT120" s="6">
        <v>33</v>
      </c>
      <c r="BU120" s="6">
        <v>155</v>
      </c>
      <c r="BW120" s="6">
        <v>152</v>
      </c>
      <c r="BX120" s="6">
        <v>149</v>
      </c>
      <c r="BY120" s="6">
        <v>11302</v>
      </c>
      <c r="BZ120" s="6">
        <v>306</v>
      </c>
      <c r="CA120" s="6" t="s">
        <v>586</v>
      </c>
      <c r="CB120" s="6" t="s">
        <v>578</v>
      </c>
      <c r="CD120" s="6" t="s">
        <v>196</v>
      </c>
      <c r="CE120" s="25">
        <v>1.91104E+18</v>
      </c>
    </row>
    <row r="121" spans="1:83" x14ac:dyDescent="0.2">
      <c r="A121" s="6" t="s">
        <v>587</v>
      </c>
      <c r="B121" s="24">
        <v>45841.274004629631</v>
      </c>
      <c r="C121" s="6" t="s">
        <v>588</v>
      </c>
      <c r="D121" s="6" t="s">
        <v>208</v>
      </c>
      <c r="E121" s="6">
        <v>6012</v>
      </c>
      <c r="F121" s="6">
        <v>48578.06</v>
      </c>
      <c r="G121" s="6">
        <v>6014</v>
      </c>
      <c r="H121" s="6">
        <v>278</v>
      </c>
      <c r="I121" s="6">
        <v>14.397</v>
      </c>
      <c r="J121" s="6">
        <v>8.0760000000000005</v>
      </c>
      <c r="K121" s="6" t="b">
        <v>1</v>
      </c>
      <c r="L121" s="6">
        <v>170</v>
      </c>
      <c r="M121" s="6">
        <v>145</v>
      </c>
      <c r="N121" s="6">
        <v>70.2346</v>
      </c>
      <c r="O121" s="6">
        <v>907</v>
      </c>
      <c r="P121" s="6" t="b">
        <v>1</v>
      </c>
      <c r="Q121" s="6">
        <v>158</v>
      </c>
      <c r="R121" s="6">
        <v>169</v>
      </c>
      <c r="S121" s="6">
        <v>949470</v>
      </c>
      <c r="T121" s="6">
        <v>65.758759999999995</v>
      </c>
      <c r="U121" s="6">
        <v>72</v>
      </c>
      <c r="X121" s="6">
        <v>8.0801829999999999</v>
      </c>
      <c r="Y121" s="6">
        <v>31.166001999999999</v>
      </c>
      <c r="Z121" s="6">
        <v>41.659280000000003</v>
      </c>
      <c r="AA121" s="6">
        <v>208</v>
      </c>
      <c r="AB121" s="6">
        <v>1.0696203</v>
      </c>
      <c r="AC121" s="6">
        <v>1.1655172</v>
      </c>
      <c r="AD121" s="6" t="b">
        <v>1</v>
      </c>
      <c r="AE121" s="6" t="b">
        <v>0</v>
      </c>
      <c r="AF121" s="6" t="b">
        <v>0</v>
      </c>
      <c r="AH121" s="6">
        <v>257</v>
      </c>
      <c r="AL121" s="6">
        <v>72</v>
      </c>
      <c r="AM121" s="6">
        <v>140</v>
      </c>
      <c r="AO121" s="6">
        <v>52</v>
      </c>
      <c r="AP121" s="6">
        <v>155</v>
      </c>
      <c r="AQ121" s="6">
        <v>124</v>
      </c>
      <c r="AR121" s="6">
        <v>138</v>
      </c>
      <c r="AS121" s="6">
        <v>144</v>
      </c>
      <c r="AT121" s="6">
        <v>154</v>
      </c>
      <c r="AU121" s="6">
        <v>158</v>
      </c>
      <c r="AV121" s="6">
        <v>163</v>
      </c>
      <c r="AW121" s="6">
        <v>190</v>
      </c>
      <c r="AX121" s="6">
        <v>1160</v>
      </c>
      <c r="AY121" s="6">
        <v>325</v>
      </c>
      <c r="AZ121" s="6">
        <v>555</v>
      </c>
      <c r="BA121" s="6">
        <v>1872</v>
      </c>
      <c r="BB121" s="6">
        <v>641</v>
      </c>
      <c r="BC121" s="6">
        <v>778</v>
      </c>
      <c r="BD121" s="6">
        <v>681</v>
      </c>
      <c r="BE121" s="6">
        <v>3469</v>
      </c>
      <c r="BF121" s="6">
        <v>60</v>
      </c>
      <c r="BG121" s="6">
        <v>2483</v>
      </c>
      <c r="BH121" s="6">
        <v>0</v>
      </c>
      <c r="BI121" s="6">
        <v>0</v>
      </c>
      <c r="BJ121" s="6">
        <v>0</v>
      </c>
      <c r="BK121" s="6">
        <v>0</v>
      </c>
      <c r="BL121" s="6">
        <v>6</v>
      </c>
      <c r="BM121" s="6">
        <v>90</v>
      </c>
      <c r="BN121" s="6" t="b">
        <v>0</v>
      </c>
      <c r="BO121" s="6" t="b">
        <v>0</v>
      </c>
      <c r="BP121" s="6" t="b">
        <v>0</v>
      </c>
      <c r="BQ121" s="6">
        <v>6013</v>
      </c>
      <c r="BR121" s="6">
        <v>1200</v>
      </c>
      <c r="BS121" s="6">
        <v>600</v>
      </c>
      <c r="BT121" s="6">
        <v>14</v>
      </c>
      <c r="BU121" s="6">
        <v>162</v>
      </c>
      <c r="BW121" s="6">
        <v>179</v>
      </c>
      <c r="BX121" s="6">
        <v>176</v>
      </c>
      <c r="BY121" s="6">
        <v>14308</v>
      </c>
      <c r="BZ121" s="6">
        <v>226</v>
      </c>
      <c r="CA121" s="6" t="s">
        <v>589</v>
      </c>
      <c r="CB121" s="6" t="s">
        <v>590</v>
      </c>
      <c r="CD121" s="6" t="s">
        <v>196</v>
      </c>
      <c r="CE121" s="25">
        <v>1.90956E+18</v>
      </c>
    </row>
    <row r="122" spans="1:83" x14ac:dyDescent="0.2">
      <c r="A122" s="6" t="s">
        <v>591</v>
      </c>
      <c r="B122" s="24">
        <v>45840.259872685187</v>
      </c>
      <c r="C122" s="6" t="s">
        <v>424</v>
      </c>
      <c r="D122" s="6" t="s">
        <v>208</v>
      </c>
      <c r="E122" s="6">
        <v>2403</v>
      </c>
      <c r="F122" s="6">
        <v>11160.94</v>
      </c>
      <c r="G122" s="6">
        <v>2406</v>
      </c>
      <c r="H122" s="6">
        <v>151</v>
      </c>
      <c r="I122" s="6">
        <v>15.481</v>
      </c>
      <c r="J122" s="6">
        <v>4.6360000000000001</v>
      </c>
      <c r="K122" s="6" t="b">
        <v>1</v>
      </c>
      <c r="L122" s="6">
        <v>127</v>
      </c>
      <c r="M122" s="6">
        <v>96</v>
      </c>
      <c r="N122" s="6">
        <v>73.610230000000001</v>
      </c>
      <c r="O122" s="6">
        <v>205</v>
      </c>
      <c r="P122" s="6" t="b">
        <v>1</v>
      </c>
      <c r="Q122" s="6">
        <v>89</v>
      </c>
      <c r="R122" s="6">
        <v>89</v>
      </c>
      <c r="S122" s="6">
        <v>215067</v>
      </c>
      <c r="T122" s="6">
        <v>34.630352000000002</v>
      </c>
      <c r="U122" s="6">
        <v>8</v>
      </c>
      <c r="X122" s="6">
        <v>4.6445860000000003</v>
      </c>
      <c r="Y122" s="6">
        <v>24.895329</v>
      </c>
      <c r="Z122" s="6">
        <v>40.92821</v>
      </c>
      <c r="AA122" s="6">
        <v>209</v>
      </c>
      <c r="AB122" s="6">
        <v>1</v>
      </c>
      <c r="AC122" s="6">
        <v>0.92708330000000005</v>
      </c>
      <c r="AD122" s="6" t="b">
        <v>1</v>
      </c>
      <c r="AE122" s="6" t="b">
        <v>0</v>
      </c>
      <c r="AF122" s="6" t="b">
        <v>0</v>
      </c>
      <c r="AH122" s="6">
        <v>257</v>
      </c>
      <c r="AL122" s="6">
        <v>8</v>
      </c>
      <c r="AM122" s="6">
        <v>13</v>
      </c>
      <c r="AO122" s="6">
        <v>52</v>
      </c>
      <c r="AP122" s="6">
        <v>155</v>
      </c>
      <c r="AQ122" s="6">
        <v>124</v>
      </c>
      <c r="AR122" s="6">
        <v>138</v>
      </c>
      <c r="AS122" s="6">
        <v>144</v>
      </c>
      <c r="AT122" s="6">
        <v>154</v>
      </c>
      <c r="AU122" s="6">
        <v>158</v>
      </c>
      <c r="AV122" s="6">
        <v>163</v>
      </c>
      <c r="AW122" s="6">
        <v>190</v>
      </c>
      <c r="AX122" s="6">
        <v>2365</v>
      </c>
      <c r="AY122" s="6">
        <v>38</v>
      </c>
      <c r="AZ122" s="6">
        <v>0</v>
      </c>
      <c r="BA122" s="6">
        <v>0</v>
      </c>
      <c r="BB122" s="6">
        <v>0</v>
      </c>
      <c r="BC122" s="6">
        <v>0</v>
      </c>
      <c r="BD122" s="6">
        <v>0</v>
      </c>
      <c r="BE122" s="6">
        <v>2400</v>
      </c>
      <c r="BF122" s="6">
        <v>3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v>90</v>
      </c>
      <c r="BN122" s="6" t="b">
        <v>0</v>
      </c>
      <c r="BO122" s="6" t="b">
        <v>0</v>
      </c>
      <c r="BP122" s="6" t="b">
        <v>0</v>
      </c>
      <c r="BQ122" s="6">
        <v>2405</v>
      </c>
      <c r="BR122" s="6">
        <v>0</v>
      </c>
      <c r="BS122" s="6">
        <v>0</v>
      </c>
      <c r="BT122" s="6"/>
      <c r="BU122" s="6"/>
      <c r="BW122" s="6">
        <v>87</v>
      </c>
      <c r="BX122" s="6">
        <v>86</v>
      </c>
      <c r="BY122" s="6">
        <v>6574</v>
      </c>
      <c r="BZ122" s="6">
        <v>166</v>
      </c>
      <c r="CA122" s="6" t="s">
        <v>592</v>
      </c>
      <c r="CB122" s="6" t="s">
        <v>590</v>
      </c>
      <c r="CD122" s="6" t="s">
        <v>196</v>
      </c>
      <c r="CE122" s="25">
        <v>1.90883E+18</v>
      </c>
    </row>
    <row r="123" spans="1:83" x14ac:dyDescent="0.2">
      <c r="A123" s="6" t="s">
        <v>593</v>
      </c>
      <c r="B123" s="24">
        <v>45839.308923611112</v>
      </c>
      <c r="C123" s="6" t="s">
        <v>594</v>
      </c>
      <c r="D123" s="6" t="s">
        <v>208</v>
      </c>
      <c r="E123" s="6">
        <v>3605</v>
      </c>
      <c r="F123" s="6">
        <v>21441.69</v>
      </c>
      <c r="G123" s="6">
        <v>3608</v>
      </c>
      <c r="H123" s="6">
        <v>284</v>
      </c>
      <c r="I123" s="6">
        <v>16.125</v>
      </c>
      <c r="J123" s="6">
        <v>5.9409999999999998</v>
      </c>
      <c r="K123" s="6" t="b">
        <v>1</v>
      </c>
      <c r="L123" s="6">
        <v>158</v>
      </c>
      <c r="M123" s="6">
        <v>127</v>
      </c>
      <c r="N123" s="6">
        <v>71.030240000000006</v>
      </c>
      <c r="O123" s="6">
        <v>477</v>
      </c>
      <c r="P123" s="6" t="b">
        <v>1</v>
      </c>
      <c r="Q123" s="6">
        <v>139</v>
      </c>
      <c r="R123" s="6">
        <v>172</v>
      </c>
      <c r="S123" s="6">
        <v>499743</v>
      </c>
      <c r="T123" s="6">
        <v>66.926069999999996</v>
      </c>
      <c r="U123" s="6">
        <v>45</v>
      </c>
      <c r="X123" s="6">
        <v>5.9477640000000003</v>
      </c>
      <c r="Y123" s="6">
        <v>27.489858999999999</v>
      </c>
      <c r="Z123" s="6">
        <v>41.721622000000004</v>
      </c>
      <c r="AA123" s="6">
        <v>209</v>
      </c>
      <c r="AB123" s="6">
        <v>1.2374101</v>
      </c>
      <c r="AC123" s="6">
        <v>1.3543307</v>
      </c>
      <c r="AD123" s="6" t="b">
        <v>1</v>
      </c>
      <c r="AE123" s="6" t="b">
        <v>0</v>
      </c>
      <c r="AF123" s="6" t="b">
        <v>0</v>
      </c>
      <c r="AH123" s="6">
        <v>257</v>
      </c>
      <c r="AL123" s="6">
        <v>45</v>
      </c>
      <c r="AM123" s="6">
        <v>54</v>
      </c>
      <c r="AO123" s="6">
        <v>52</v>
      </c>
      <c r="AP123" s="6">
        <v>155</v>
      </c>
      <c r="AQ123" s="6">
        <v>124</v>
      </c>
      <c r="AR123" s="6">
        <v>138</v>
      </c>
      <c r="AS123" s="6">
        <v>144</v>
      </c>
      <c r="AT123" s="6">
        <v>154</v>
      </c>
      <c r="AU123" s="6">
        <v>158</v>
      </c>
      <c r="AV123" s="6">
        <v>163</v>
      </c>
      <c r="AW123" s="6">
        <v>190</v>
      </c>
      <c r="AX123" s="6">
        <v>1618</v>
      </c>
      <c r="AY123" s="6">
        <v>797</v>
      </c>
      <c r="AZ123" s="6">
        <v>396</v>
      </c>
      <c r="BA123" s="6">
        <v>635</v>
      </c>
      <c r="BB123" s="6">
        <v>159</v>
      </c>
      <c r="BC123" s="6">
        <v>0</v>
      </c>
      <c r="BD123" s="6">
        <v>0</v>
      </c>
      <c r="BE123" s="6">
        <v>2677</v>
      </c>
      <c r="BF123" s="6">
        <v>49</v>
      </c>
      <c r="BG123" s="6">
        <v>31</v>
      </c>
      <c r="BH123" s="6">
        <v>848</v>
      </c>
      <c r="BI123" s="6">
        <v>0</v>
      </c>
      <c r="BJ123" s="6">
        <v>0</v>
      </c>
      <c r="BK123" s="6">
        <v>0</v>
      </c>
      <c r="BL123" s="6">
        <v>837</v>
      </c>
      <c r="BM123" s="6">
        <v>90</v>
      </c>
      <c r="BN123" s="6" t="b">
        <v>0</v>
      </c>
      <c r="BO123" s="6" t="b">
        <v>0</v>
      </c>
      <c r="BP123" s="6" t="b">
        <v>0</v>
      </c>
      <c r="BQ123" s="6">
        <v>3607</v>
      </c>
      <c r="BR123" s="6">
        <v>1200</v>
      </c>
      <c r="BS123" s="6">
        <v>600</v>
      </c>
      <c r="BT123" s="6">
        <v>27</v>
      </c>
      <c r="BU123" s="6">
        <v>158</v>
      </c>
      <c r="BW123" s="6">
        <v>160</v>
      </c>
      <c r="BX123" s="6">
        <v>157</v>
      </c>
      <c r="BY123" s="6">
        <v>13661</v>
      </c>
      <c r="BZ123" s="6">
        <v>268</v>
      </c>
      <c r="CA123" s="6" t="s">
        <v>595</v>
      </c>
      <c r="CB123" s="6" t="s">
        <v>596</v>
      </c>
      <c r="CD123" s="6" t="s">
        <v>196</v>
      </c>
      <c r="CE123" s="25">
        <v>1.90814E+18</v>
      </c>
    </row>
    <row r="124" spans="1:83" x14ac:dyDescent="0.2">
      <c r="A124" s="6" t="s">
        <v>597</v>
      </c>
      <c r="B124" s="24">
        <v>45836.294918981483</v>
      </c>
      <c r="C124" s="6" t="s">
        <v>598</v>
      </c>
      <c r="D124" s="6" t="s">
        <v>208</v>
      </c>
      <c r="E124" s="6">
        <v>2407</v>
      </c>
      <c r="F124" s="6">
        <v>16640.46</v>
      </c>
      <c r="G124" s="6">
        <v>2409</v>
      </c>
      <c r="H124" s="6">
        <v>26</v>
      </c>
      <c r="I124" s="6">
        <v>9.6329999999999991</v>
      </c>
      <c r="J124" s="6">
        <v>6.9039999999999999</v>
      </c>
      <c r="K124" s="6" t="b">
        <v>1</v>
      </c>
      <c r="L124" s="6">
        <v>122</v>
      </c>
      <c r="M124" s="6">
        <v>101</v>
      </c>
      <c r="N124" s="6">
        <v>74.298034999999999</v>
      </c>
      <c r="O124" s="6">
        <v>204</v>
      </c>
      <c r="P124" s="6" t="b">
        <v>1</v>
      </c>
      <c r="Q124" s="6">
        <v>89</v>
      </c>
      <c r="R124" s="6">
        <v>89</v>
      </c>
      <c r="S124" s="6">
        <v>213804</v>
      </c>
      <c r="T124" s="6">
        <v>34.630352000000002</v>
      </c>
      <c r="U124" s="6">
        <v>8</v>
      </c>
      <c r="X124" s="6">
        <v>6.9133614999999997</v>
      </c>
      <c r="Y124" s="6">
        <v>33.002876000000001</v>
      </c>
      <c r="Z124" s="6">
        <v>43.673580000000001</v>
      </c>
      <c r="AA124" s="6">
        <v>210</v>
      </c>
      <c r="AB124" s="6">
        <v>1</v>
      </c>
      <c r="AC124" s="6">
        <v>0.88118810000000003</v>
      </c>
      <c r="AD124" s="6" t="b">
        <v>1</v>
      </c>
      <c r="AE124" s="6" t="b">
        <v>0</v>
      </c>
      <c r="AF124" s="6" t="b">
        <v>0</v>
      </c>
      <c r="AH124" s="6">
        <v>257</v>
      </c>
      <c r="AL124" s="6">
        <v>8</v>
      </c>
      <c r="AM124" s="6">
        <v>15</v>
      </c>
      <c r="AO124" s="6">
        <v>52</v>
      </c>
      <c r="AP124" s="6">
        <v>155</v>
      </c>
      <c r="AQ124" s="6">
        <v>124</v>
      </c>
      <c r="AR124" s="6">
        <v>138</v>
      </c>
      <c r="AS124" s="6">
        <v>144</v>
      </c>
      <c r="AT124" s="6">
        <v>154</v>
      </c>
      <c r="AU124" s="6">
        <v>158</v>
      </c>
      <c r="AV124" s="6">
        <v>163</v>
      </c>
      <c r="AW124" s="6">
        <v>190</v>
      </c>
      <c r="AX124" s="6">
        <v>2407</v>
      </c>
      <c r="AY124" s="6">
        <v>0</v>
      </c>
      <c r="AZ124" s="6">
        <v>0</v>
      </c>
      <c r="BA124" s="6">
        <v>0</v>
      </c>
      <c r="BB124" s="6">
        <v>0</v>
      </c>
      <c r="BC124" s="6">
        <v>0</v>
      </c>
      <c r="BD124" s="6">
        <v>0</v>
      </c>
      <c r="BE124" s="6">
        <v>2407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v>90</v>
      </c>
      <c r="BN124" s="6" t="b">
        <v>0</v>
      </c>
      <c r="BO124" s="6" t="b">
        <v>0</v>
      </c>
      <c r="BP124" s="6" t="b">
        <v>0</v>
      </c>
      <c r="BQ124" s="6">
        <v>2408</v>
      </c>
      <c r="BR124" s="6">
        <v>0</v>
      </c>
      <c r="BS124" s="6">
        <v>0</v>
      </c>
      <c r="BT124" s="6"/>
      <c r="BU124" s="6"/>
      <c r="BW124" s="6">
        <v>87</v>
      </c>
      <c r="BX124" s="6">
        <v>86</v>
      </c>
      <c r="BY124" s="6">
        <v>6574</v>
      </c>
      <c r="BZ124" s="6">
        <v>138</v>
      </c>
      <c r="CA124" s="6" t="s">
        <v>599</v>
      </c>
      <c r="CB124" s="6" t="s">
        <v>596</v>
      </c>
      <c r="CD124" s="6" t="s">
        <v>196</v>
      </c>
      <c r="CE124" s="25">
        <v>1.90595E+18</v>
      </c>
    </row>
    <row r="125" spans="1:83" x14ac:dyDescent="0.2">
      <c r="A125" s="6" t="s">
        <v>600</v>
      </c>
      <c r="B125" s="24">
        <v>45834.378877314812</v>
      </c>
      <c r="C125" s="6" t="s">
        <v>601</v>
      </c>
      <c r="D125" s="6" t="s">
        <v>208</v>
      </c>
      <c r="E125" s="6">
        <v>4390</v>
      </c>
      <c r="F125" s="6">
        <v>37009.660000000003</v>
      </c>
      <c r="G125" s="6">
        <v>4392</v>
      </c>
      <c r="H125" s="6">
        <v>58</v>
      </c>
      <c r="I125" s="6">
        <v>11.675000000000001</v>
      </c>
      <c r="J125" s="6">
        <v>8.4239999999999995</v>
      </c>
      <c r="K125" s="6" t="b">
        <v>1</v>
      </c>
      <c r="L125" s="6">
        <v>155</v>
      </c>
      <c r="M125" s="6">
        <v>125</v>
      </c>
      <c r="N125" s="6">
        <v>75.003889999999998</v>
      </c>
      <c r="O125" s="6">
        <v>607</v>
      </c>
      <c r="P125" s="6" t="b">
        <v>1</v>
      </c>
      <c r="Q125" s="6">
        <v>145</v>
      </c>
      <c r="R125" s="6">
        <v>168</v>
      </c>
      <c r="S125" s="6">
        <v>636498</v>
      </c>
      <c r="T125" s="6">
        <v>65.369649999999993</v>
      </c>
      <c r="U125" s="6">
        <v>52</v>
      </c>
      <c r="X125" s="6">
        <v>8.4304469999999991</v>
      </c>
      <c r="Y125" s="6">
        <v>42.500149999999998</v>
      </c>
      <c r="Z125" s="6">
        <v>45.606180000000002</v>
      </c>
      <c r="AA125" s="6">
        <v>210</v>
      </c>
      <c r="AB125" s="6">
        <v>1.1586206999999999</v>
      </c>
      <c r="AC125" s="6">
        <v>1.3440000000000001</v>
      </c>
      <c r="AD125" s="6" t="b">
        <v>1</v>
      </c>
      <c r="AE125" s="6" t="b">
        <v>0</v>
      </c>
      <c r="AF125" s="6" t="b">
        <v>0</v>
      </c>
      <c r="AH125" s="6">
        <v>257</v>
      </c>
      <c r="AL125" s="6">
        <v>52</v>
      </c>
      <c r="AM125" s="6">
        <v>62</v>
      </c>
      <c r="AO125" s="6">
        <v>52</v>
      </c>
      <c r="AP125" s="6">
        <v>155</v>
      </c>
      <c r="AQ125" s="6">
        <v>124</v>
      </c>
      <c r="AR125" s="6">
        <v>138</v>
      </c>
      <c r="AS125" s="6">
        <v>144</v>
      </c>
      <c r="AT125" s="6">
        <v>154</v>
      </c>
      <c r="AU125" s="6">
        <v>158</v>
      </c>
      <c r="AV125" s="6">
        <v>163</v>
      </c>
      <c r="AW125" s="6">
        <v>190</v>
      </c>
      <c r="AX125" s="6">
        <v>1922</v>
      </c>
      <c r="AY125" s="6">
        <v>1317</v>
      </c>
      <c r="AZ125" s="6">
        <v>368</v>
      </c>
      <c r="BA125" s="6">
        <v>773</v>
      </c>
      <c r="BB125" s="6">
        <v>10</v>
      </c>
      <c r="BC125" s="6">
        <v>0</v>
      </c>
      <c r="BD125" s="6">
        <v>0</v>
      </c>
      <c r="BE125" s="6">
        <v>3187</v>
      </c>
      <c r="BF125" s="6">
        <v>249</v>
      </c>
      <c r="BG125" s="6">
        <v>76</v>
      </c>
      <c r="BH125" s="6">
        <v>878</v>
      </c>
      <c r="BI125" s="6">
        <v>0</v>
      </c>
      <c r="BJ125" s="6">
        <v>0</v>
      </c>
      <c r="BK125" s="6">
        <v>0</v>
      </c>
      <c r="BL125" s="6">
        <v>924</v>
      </c>
      <c r="BM125" s="6">
        <v>90</v>
      </c>
      <c r="BN125" s="6" t="b">
        <v>0</v>
      </c>
      <c r="BO125" s="6" t="b">
        <v>0</v>
      </c>
      <c r="BP125" s="6" t="b">
        <v>0</v>
      </c>
      <c r="BQ125" s="6">
        <v>4391</v>
      </c>
      <c r="BR125" s="6">
        <v>1200</v>
      </c>
      <c r="BS125" s="6">
        <v>600</v>
      </c>
      <c r="BT125" s="6">
        <v>15</v>
      </c>
      <c r="BU125" s="6">
        <v>155</v>
      </c>
      <c r="BW125" s="6">
        <v>170</v>
      </c>
      <c r="BX125" s="6">
        <v>166</v>
      </c>
      <c r="BY125" s="6">
        <v>14965</v>
      </c>
      <c r="BZ125" s="6">
        <v>258</v>
      </c>
      <c r="CA125" s="6" t="s">
        <v>602</v>
      </c>
      <c r="CB125" s="6" t="s">
        <v>596</v>
      </c>
      <c r="CD125" s="6" t="s">
        <v>196</v>
      </c>
      <c r="CE125" s="25">
        <v>1.90456E+18</v>
      </c>
    </row>
    <row r="126" spans="1:83" x14ac:dyDescent="0.2">
      <c r="A126" s="6" t="s">
        <v>603</v>
      </c>
      <c r="B126" s="24">
        <v>45833.325104166666</v>
      </c>
      <c r="C126" s="6" t="s">
        <v>598</v>
      </c>
      <c r="D126" s="6" t="s">
        <v>208</v>
      </c>
      <c r="E126" s="6">
        <v>2406</v>
      </c>
      <c r="F126" s="6">
        <v>16390.68</v>
      </c>
      <c r="G126" s="6">
        <v>2408</v>
      </c>
      <c r="H126" s="6">
        <v>26</v>
      </c>
      <c r="I126" s="6">
        <v>9.4030000000000005</v>
      </c>
      <c r="J126" s="6">
        <v>6.8029999999999999</v>
      </c>
      <c r="K126" s="6" t="b">
        <v>1</v>
      </c>
      <c r="L126" s="6">
        <v>122</v>
      </c>
      <c r="M126" s="6">
        <v>96</v>
      </c>
      <c r="N126" s="6">
        <v>72.416839999999993</v>
      </c>
      <c r="O126" s="6">
        <v>203</v>
      </c>
      <c r="P126" s="6" t="b">
        <v>1</v>
      </c>
      <c r="Q126" s="6">
        <v>88</v>
      </c>
      <c r="R126" s="6">
        <v>89</v>
      </c>
      <c r="S126" s="6">
        <v>212932</v>
      </c>
      <c r="T126" s="6">
        <v>34.630352000000002</v>
      </c>
      <c r="U126" s="6">
        <v>8</v>
      </c>
      <c r="X126" s="6">
        <v>6.8124190000000002</v>
      </c>
      <c r="Y126" s="6">
        <v>41.041305999999999</v>
      </c>
      <c r="Z126" s="6">
        <v>45.452117999999999</v>
      </c>
      <c r="AA126" s="6">
        <v>210</v>
      </c>
      <c r="AB126" s="6">
        <v>1.0113635999999999</v>
      </c>
      <c r="AC126" s="6">
        <v>0.92708330000000005</v>
      </c>
      <c r="AD126" s="6" t="b">
        <v>1</v>
      </c>
      <c r="AE126" s="6" t="b">
        <v>0</v>
      </c>
      <c r="AF126" s="6" t="b">
        <v>0</v>
      </c>
      <c r="AH126" s="6">
        <v>257</v>
      </c>
      <c r="AL126" s="6">
        <v>8</v>
      </c>
      <c r="AM126" s="6">
        <v>13</v>
      </c>
      <c r="AO126" s="6">
        <v>52</v>
      </c>
      <c r="AP126" s="6">
        <v>155</v>
      </c>
      <c r="AQ126" s="6">
        <v>124</v>
      </c>
      <c r="AR126" s="6">
        <v>138</v>
      </c>
      <c r="AS126" s="6">
        <v>144</v>
      </c>
      <c r="AT126" s="6">
        <v>154</v>
      </c>
      <c r="AU126" s="6">
        <v>158</v>
      </c>
      <c r="AV126" s="6">
        <v>163</v>
      </c>
      <c r="AW126" s="6">
        <v>190</v>
      </c>
      <c r="AX126" s="6">
        <v>2406</v>
      </c>
      <c r="AY126" s="6">
        <v>0</v>
      </c>
      <c r="AZ126" s="6">
        <v>0</v>
      </c>
      <c r="BA126" s="6">
        <v>0</v>
      </c>
      <c r="BB126" s="6">
        <v>0</v>
      </c>
      <c r="BC126" s="6">
        <v>0</v>
      </c>
      <c r="BD126" s="6">
        <v>0</v>
      </c>
      <c r="BE126" s="6">
        <v>2402</v>
      </c>
      <c r="BF126" s="6">
        <v>4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90</v>
      </c>
      <c r="BN126" s="6" t="b">
        <v>0</v>
      </c>
      <c r="BO126" s="6" t="b">
        <v>0</v>
      </c>
      <c r="BP126" s="6" t="b">
        <v>0</v>
      </c>
      <c r="BQ126" s="6">
        <v>2407</v>
      </c>
      <c r="BR126" s="6">
        <v>0</v>
      </c>
      <c r="BS126" s="6">
        <v>0</v>
      </c>
      <c r="BT126" s="6"/>
      <c r="BU126" s="6"/>
      <c r="BW126" s="6">
        <v>87</v>
      </c>
      <c r="BX126" s="6">
        <v>86</v>
      </c>
      <c r="BY126" s="6">
        <v>6574</v>
      </c>
      <c r="BZ126" s="6">
        <v>181</v>
      </c>
      <c r="CA126" s="6" t="s">
        <v>604</v>
      </c>
      <c r="CB126" s="6" t="s">
        <v>605</v>
      </c>
      <c r="CD126" s="6" t="s">
        <v>196</v>
      </c>
      <c r="CE126" s="25">
        <v>1.9038E+18</v>
      </c>
    </row>
    <row r="127" spans="1:83" x14ac:dyDescent="0.2">
      <c r="A127" s="6" t="s">
        <v>606</v>
      </c>
      <c r="B127" s="24">
        <v>45832.392881944441</v>
      </c>
      <c r="C127" s="6" t="s">
        <v>607</v>
      </c>
      <c r="D127" s="6" t="s">
        <v>208</v>
      </c>
      <c r="E127" s="6">
        <v>4841</v>
      </c>
      <c r="F127" s="6">
        <v>37028.910000000003</v>
      </c>
      <c r="G127" s="6">
        <v>4844</v>
      </c>
      <c r="H127" s="6">
        <v>283</v>
      </c>
      <c r="I127" s="6">
        <v>18.206</v>
      </c>
      <c r="J127" s="6">
        <v>7.6420000000000003</v>
      </c>
      <c r="K127" s="6" t="b">
        <v>1</v>
      </c>
      <c r="L127" s="6">
        <v>157</v>
      </c>
      <c r="M127" s="6">
        <v>128</v>
      </c>
      <c r="N127" s="6">
        <v>73.080500000000001</v>
      </c>
      <c r="O127" s="6">
        <v>716</v>
      </c>
      <c r="P127" s="6" t="b">
        <v>1</v>
      </c>
      <c r="Q127" s="6">
        <v>155</v>
      </c>
      <c r="R127" s="6">
        <v>171</v>
      </c>
      <c r="S127" s="6">
        <v>750166</v>
      </c>
      <c r="T127" s="6">
        <v>66.536963999999998</v>
      </c>
      <c r="U127" s="6">
        <v>60</v>
      </c>
      <c r="X127" s="6">
        <v>7.6490207000000003</v>
      </c>
      <c r="Y127" s="6">
        <v>46.115295000000003</v>
      </c>
      <c r="Z127" s="6">
        <v>46.354534000000001</v>
      </c>
      <c r="AA127" s="6">
        <v>210</v>
      </c>
      <c r="AB127" s="6">
        <v>1.1032257999999999</v>
      </c>
      <c r="AC127" s="6">
        <v>1.3359375</v>
      </c>
      <c r="AD127" s="6" t="b">
        <v>1</v>
      </c>
      <c r="AE127" s="6" t="b">
        <v>0</v>
      </c>
      <c r="AF127" s="6" t="b">
        <v>0</v>
      </c>
      <c r="AH127" s="6">
        <v>257</v>
      </c>
      <c r="AL127" s="6">
        <v>60</v>
      </c>
      <c r="AM127" s="6">
        <v>73</v>
      </c>
      <c r="AO127" s="6">
        <v>52</v>
      </c>
      <c r="AP127" s="6">
        <v>155</v>
      </c>
      <c r="AQ127" s="6">
        <v>124</v>
      </c>
      <c r="AR127" s="6">
        <v>138</v>
      </c>
      <c r="AS127" s="6">
        <v>144</v>
      </c>
      <c r="AT127" s="6">
        <v>154</v>
      </c>
      <c r="AU127" s="6">
        <v>158</v>
      </c>
      <c r="AV127" s="6">
        <v>163</v>
      </c>
      <c r="AW127" s="6">
        <v>190</v>
      </c>
      <c r="AX127" s="6">
        <v>1818</v>
      </c>
      <c r="AY127" s="6">
        <v>1375</v>
      </c>
      <c r="AZ127" s="6">
        <v>661</v>
      </c>
      <c r="BA127" s="6">
        <v>939</v>
      </c>
      <c r="BB127" s="6">
        <v>48</v>
      </c>
      <c r="BC127" s="6">
        <v>0</v>
      </c>
      <c r="BD127" s="6">
        <v>0</v>
      </c>
      <c r="BE127" s="6">
        <v>2680</v>
      </c>
      <c r="BF127" s="6">
        <v>211</v>
      </c>
      <c r="BG127" s="6">
        <v>1863</v>
      </c>
      <c r="BH127" s="6">
        <v>6</v>
      </c>
      <c r="BI127" s="6">
        <v>8</v>
      </c>
      <c r="BJ127" s="6">
        <v>73</v>
      </c>
      <c r="BK127" s="6">
        <v>0</v>
      </c>
      <c r="BL127" s="6">
        <v>13</v>
      </c>
      <c r="BM127" s="6">
        <v>90</v>
      </c>
      <c r="BN127" s="6" t="b">
        <v>0</v>
      </c>
      <c r="BO127" s="6" t="b">
        <v>0</v>
      </c>
      <c r="BP127" s="6" t="b">
        <v>0</v>
      </c>
      <c r="BQ127" s="6">
        <v>4843</v>
      </c>
      <c r="BR127" s="6">
        <v>1200</v>
      </c>
      <c r="BS127" s="6">
        <v>600</v>
      </c>
      <c r="BT127" s="6">
        <v>17</v>
      </c>
      <c r="BU127" s="6">
        <v>155</v>
      </c>
      <c r="BW127" s="6">
        <v>172</v>
      </c>
      <c r="BX127" s="6">
        <v>168</v>
      </c>
      <c r="BY127" s="6">
        <v>14819</v>
      </c>
      <c r="BZ127" s="6">
        <v>328</v>
      </c>
      <c r="CA127" s="6" t="s">
        <v>608</v>
      </c>
      <c r="CB127" s="6" t="s">
        <v>605</v>
      </c>
      <c r="CD127" s="6" t="s">
        <v>196</v>
      </c>
      <c r="CE127" s="25">
        <v>1.90312E+18</v>
      </c>
    </row>
    <row r="128" spans="1:83" x14ac:dyDescent="0.2">
      <c r="A128" s="6" t="s">
        <v>609</v>
      </c>
      <c r="B128" s="24">
        <v>45831.454131944447</v>
      </c>
      <c r="C128" s="6" t="s">
        <v>610</v>
      </c>
      <c r="D128" s="6" t="s">
        <v>208</v>
      </c>
      <c r="E128" s="6">
        <v>2449</v>
      </c>
      <c r="F128" s="6">
        <v>8678.73</v>
      </c>
      <c r="G128" s="6">
        <v>2449</v>
      </c>
      <c r="H128" s="6">
        <v>139</v>
      </c>
      <c r="I128" s="6">
        <v>15.593</v>
      </c>
      <c r="J128" s="6">
        <v>3.5419999999999998</v>
      </c>
      <c r="K128" s="6" t="b">
        <v>1</v>
      </c>
      <c r="L128" s="6">
        <v>122</v>
      </c>
      <c r="M128" s="6">
        <v>95</v>
      </c>
      <c r="N128" s="6">
        <v>73.396889999999999</v>
      </c>
      <c r="O128" s="6">
        <v>203</v>
      </c>
      <c r="P128" s="6" t="b">
        <v>1</v>
      </c>
      <c r="Q128" s="6">
        <v>87</v>
      </c>
      <c r="R128" s="6">
        <v>89</v>
      </c>
      <c r="S128" s="6">
        <v>212639</v>
      </c>
      <c r="T128" s="6">
        <v>34.630352000000002</v>
      </c>
      <c r="U128" s="6">
        <v>8</v>
      </c>
      <c r="X128" s="6">
        <v>3.5437853000000001</v>
      </c>
      <c r="Y128" s="6">
        <v>43.983089999999997</v>
      </c>
      <c r="Z128" s="6">
        <v>46.025745000000001</v>
      </c>
      <c r="AA128" s="6">
        <v>211</v>
      </c>
      <c r="AB128" s="6">
        <v>1.0229885999999999</v>
      </c>
      <c r="AC128" s="6">
        <v>0.93684210000000001</v>
      </c>
      <c r="AD128" s="6" t="b">
        <v>1</v>
      </c>
      <c r="AE128" s="6" t="b">
        <v>0</v>
      </c>
      <c r="AF128" s="6" t="b">
        <v>0</v>
      </c>
      <c r="AH128" s="6">
        <v>257</v>
      </c>
      <c r="AL128" s="6">
        <v>8</v>
      </c>
      <c r="AM128" s="6">
        <v>13</v>
      </c>
      <c r="AO128" s="6">
        <v>52</v>
      </c>
      <c r="AP128" s="6">
        <v>155</v>
      </c>
      <c r="AQ128" s="6">
        <v>124</v>
      </c>
      <c r="AR128" s="6">
        <v>138</v>
      </c>
      <c r="AS128" s="6">
        <v>144</v>
      </c>
      <c r="AT128" s="6">
        <v>154</v>
      </c>
      <c r="AU128" s="6">
        <v>158</v>
      </c>
      <c r="AV128" s="6">
        <v>163</v>
      </c>
      <c r="AW128" s="6">
        <v>190</v>
      </c>
      <c r="AX128" s="6">
        <v>2450</v>
      </c>
      <c r="AY128" s="6">
        <v>0</v>
      </c>
      <c r="AZ128" s="6">
        <v>0</v>
      </c>
      <c r="BA128" s="6">
        <v>0</v>
      </c>
      <c r="BB128" s="6">
        <v>0</v>
      </c>
      <c r="BC128" s="6">
        <v>0</v>
      </c>
      <c r="BD128" s="6">
        <v>0</v>
      </c>
      <c r="BE128" s="6">
        <v>2448</v>
      </c>
      <c r="BF128" s="6">
        <v>2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v>90</v>
      </c>
      <c r="BN128" s="6" t="b">
        <v>0</v>
      </c>
      <c r="BO128" s="6" t="b">
        <v>0</v>
      </c>
      <c r="BP128" s="6" t="b">
        <v>0</v>
      </c>
      <c r="BQ128" s="6">
        <v>2448</v>
      </c>
      <c r="BR128" s="6">
        <v>0</v>
      </c>
      <c r="BS128" s="6">
        <v>0</v>
      </c>
      <c r="BW128" s="6">
        <v>87</v>
      </c>
      <c r="BX128" s="6">
        <v>86</v>
      </c>
      <c r="BY128" s="6">
        <v>6574</v>
      </c>
      <c r="BZ128" s="6">
        <v>161</v>
      </c>
      <c r="CA128" s="6" t="s">
        <v>611</v>
      </c>
      <c r="CB128" s="6" t="s">
        <v>605</v>
      </c>
      <c r="CD128" s="6" t="s">
        <v>196</v>
      </c>
      <c r="CE128" s="25">
        <v>1.90244E+18</v>
      </c>
    </row>
    <row r="129" spans="1:83" x14ac:dyDescent="0.2">
      <c r="A129" s="6" t="s">
        <v>612</v>
      </c>
      <c r="B129" s="24">
        <v>45829.249201388891</v>
      </c>
      <c r="C129" s="6" t="s">
        <v>613</v>
      </c>
      <c r="D129" s="6" t="s">
        <v>208</v>
      </c>
      <c r="E129" s="6">
        <v>4460</v>
      </c>
      <c r="F129" s="6">
        <v>31180.01</v>
      </c>
      <c r="G129" s="6">
        <v>4461</v>
      </c>
      <c r="H129" s="6">
        <v>365</v>
      </c>
      <c r="I129" s="6">
        <v>16.251000000000001</v>
      </c>
      <c r="J129" s="6">
        <v>6.9870000000000001</v>
      </c>
      <c r="K129" s="6" t="b">
        <v>1</v>
      </c>
      <c r="L129" s="6">
        <v>159</v>
      </c>
      <c r="M129" s="6">
        <v>122</v>
      </c>
      <c r="N129" s="6">
        <v>75.876429999999999</v>
      </c>
      <c r="O129" s="6">
        <v>669</v>
      </c>
      <c r="P129" s="6" t="b">
        <v>1</v>
      </c>
      <c r="Q129" s="6">
        <v>157</v>
      </c>
      <c r="R129" s="6">
        <v>186</v>
      </c>
      <c r="S129" s="6">
        <v>700797</v>
      </c>
      <c r="T129" s="6">
        <v>72.373540000000006</v>
      </c>
      <c r="U129" s="6">
        <v>65</v>
      </c>
      <c r="X129" s="6">
        <v>6.9910335999999997</v>
      </c>
      <c r="Y129" s="6">
        <v>57.111651999999999</v>
      </c>
      <c r="Z129" s="6">
        <v>48.073062999999998</v>
      </c>
      <c r="AA129" s="6">
        <v>211</v>
      </c>
      <c r="AB129" s="6">
        <v>1.1847133999999999</v>
      </c>
      <c r="AC129" s="6">
        <v>1.5245900999999999</v>
      </c>
      <c r="AD129" s="6" t="b">
        <v>1</v>
      </c>
      <c r="AE129" s="6" t="b">
        <v>0</v>
      </c>
      <c r="AF129" s="6" t="b">
        <v>0</v>
      </c>
      <c r="AH129" s="6">
        <v>257</v>
      </c>
      <c r="AL129" s="6">
        <v>65</v>
      </c>
      <c r="AM129" s="6">
        <v>59</v>
      </c>
      <c r="AO129" s="6">
        <v>52</v>
      </c>
      <c r="AP129" s="6">
        <v>155</v>
      </c>
      <c r="AQ129" s="6">
        <v>124</v>
      </c>
      <c r="AR129" s="6">
        <v>138</v>
      </c>
      <c r="AS129" s="6">
        <v>144</v>
      </c>
      <c r="AT129" s="6">
        <v>154</v>
      </c>
      <c r="AU129" s="6">
        <v>158</v>
      </c>
      <c r="AV129" s="6">
        <v>163</v>
      </c>
      <c r="AW129" s="6">
        <v>190</v>
      </c>
      <c r="AX129" s="6">
        <v>2312</v>
      </c>
      <c r="AY129" s="6">
        <v>1221</v>
      </c>
      <c r="AZ129" s="6">
        <v>318</v>
      </c>
      <c r="BA129" s="6">
        <v>414</v>
      </c>
      <c r="BB129" s="6">
        <v>187</v>
      </c>
      <c r="BC129" s="6">
        <v>8</v>
      </c>
      <c r="BD129" s="6">
        <v>0</v>
      </c>
      <c r="BE129" s="6">
        <v>1656</v>
      </c>
      <c r="BF129" s="6">
        <v>1289</v>
      </c>
      <c r="BG129" s="6">
        <v>717</v>
      </c>
      <c r="BH129" s="6">
        <v>551</v>
      </c>
      <c r="BI129" s="6">
        <v>240</v>
      </c>
      <c r="BJ129" s="6">
        <v>7</v>
      </c>
      <c r="BK129" s="6">
        <v>0</v>
      </c>
      <c r="BL129" s="6">
        <v>493</v>
      </c>
      <c r="BM129" s="6">
        <v>90</v>
      </c>
      <c r="BN129" s="6" t="b">
        <v>0</v>
      </c>
      <c r="BO129" s="6" t="b">
        <v>0</v>
      </c>
      <c r="BP129" s="6" t="b">
        <v>0</v>
      </c>
      <c r="BQ129" s="6">
        <v>4460</v>
      </c>
      <c r="BR129" s="6">
        <v>1200</v>
      </c>
      <c r="BS129" s="6">
        <v>600</v>
      </c>
      <c r="BW129" s="6">
        <v>211</v>
      </c>
      <c r="BX129" s="6">
        <v>207</v>
      </c>
      <c r="BY129" s="6">
        <v>17886</v>
      </c>
      <c r="BZ129" s="6">
        <v>320</v>
      </c>
      <c r="CA129" s="6" t="s">
        <v>614</v>
      </c>
      <c r="CB129" s="6" t="s">
        <v>615</v>
      </c>
      <c r="CD129" s="6" t="s">
        <v>196</v>
      </c>
      <c r="CE129" s="25">
        <v>1.90085E+18</v>
      </c>
    </row>
    <row r="130" spans="1:83" x14ac:dyDescent="0.2">
      <c r="A130" s="6" t="s">
        <v>616</v>
      </c>
      <c r="B130" s="24">
        <v>45828.308831018519</v>
      </c>
      <c r="C130" s="6" t="s">
        <v>617</v>
      </c>
      <c r="D130" s="6" t="s">
        <v>208</v>
      </c>
      <c r="E130" s="6">
        <v>6307</v>
      </c>
      <c r="F130" s="6">
        <v>38531.08</v>
      </c>
      <c r="G130" s="6">
        <v>6311</v>
      </c>
      <c r="H130" s="6">
        <v>360</v>
      </c>
      <c r="I130" s="6">
        <v>14.042</v>
      </c>
      <c r="J130" s="6">
        <v>6.1040000000000001</v>
      </c>
      <c r="K130" s="6" t="b">
        <v>1</v>
      </c>
      <c r="L130" s="6">
        <v>138</v>
      </c>
      <c r="M130" s="6">
        <v>117</v>
      </c>
      <c r="N130" s="6">
        <v>78.11224</v>
      </c>
      <c r="O130" s="6">
        <v>899</v>
      </c>
      <c r="P130" s="6" t="b">
        <v>1</v>
      </c>
      <c r="Q130" s="6">
        <v>149</v>
      </c>
      <c r="R130" s="6">
        <v>151</v>
      </c>
      <c r="S130" s="6">
        <v>941205</v>
      </c>
      <c r="T130" s="6">
        <v>58.754863999999998</v>
      </c>
      <c r="U130" s="6">
        <v>60</v>
      </c>
      <c r="X130" s="6">
        <v>6.1092563000000002</v>
      </c>
      <c r="Y130" s="6">
        <v>55.900280000000002</v>
      </c>
      <c r="Z130" s="6">
        <v>47.665202999999998</v>
      </c>
      <c r="AA130" s="6">
        <v>205</v>
      </c>
      <c r="AB130" s="6">
        <v>1.0134228000000001</v>
      </c>
      <c r="AC130" s="6">
        <v>1.2905983000000001</v>
      </c>
      <c r="AD130" s="6" t="b">
        <v>1</v>
      </c>
      <c r="AE130" s="6" t="b">
        <v>0</v>
      </c>
      <c r="AF130" s="6" t="b">
        <v>0</v>
      </c>
      <c r="AH130" s="6">
        <v>257</v>
      </c>
      <c r="AL130" s="6">
        <v>60</v>
      </c>
      <c r="AM130" s="6">
        <v>68</v>
      </c>
      <c r="AO130" s="6">
        <v>52</v>
      </c>
      <c r="AP130" s="6">
        <v>155</v>
      </c>
      <c r="AQ130" s="6">
        <v>124</v>
      </c>
      <c r="AR130" s="6">
        <v>138</v>
      </c>
      <c r="AS130" s="6">
        <v>144</v>
      </c>
      <c r="AT130" s="6">
        <v>154</v>
      </c>
      <c r="AU130" s="6">
        <v>158</v>
      </c>
      <c r="AV130" s="6">
        <v>163</v>
      </c>
      <c r="AW130" s="6">
        <v>190</v>
      </c>
      <c r="AX130" s="6">
        <v>5184</v>
      </c>
      <c r="AY130" s="6">
        <v>1123</v>
      </c>
      <c r="AZ130" s="6">
        <v>0</v>
      </c>
      <c r="BA130" s="6">
        <v>0</v>
      </c>
      <c r="BB130" s="6">
        <v>0</v>
      </c>
      <c r="BC130" s="6">
        <v>0</v>
      </c>
      <c r="BD130" s="6">
        <v>0</v>
      </c>
      <c r="BE130" s="6">
        <v>941</v>
      </c>
      <c r="BF130" s="6">
        <v>5366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90</v>
      </c>
      <c r="BN130" s="6" t="b">
        <v>0</v>
      </c>
      <c r="BO130" s="6" t="b">
        <v>0</v>
      </c>
      <c r="BP130" s="6" t="b">
        <v>0</v>
      </c>
      <c r="BQ130" s="6">
        <v>6310</v>
      </c>
      <c r="BR130" s="6">
        <v>1200</v>
      </c>
      <c r="BS130" s="6">
        <v>600</v>
      </c>
      <c r="BW130" s="6">
        <v>155</v>
      </c>
      <c r="BX130" s="6">
        <v>152</v>
      </c>
      <c r="BY130" s="6">
        <v>11962</v>
      </c>
      <c r="BZ130" s="6">
        <v>210</v>
      </c>
      <c r="CA130" s="6" t="s">
        <v>618</v>
      </c>
      <c r="CB130" s="6" t="s">
        <v>615</v>
      </c>
      <c r="CD130" s="6" t="s">
        <v>196</v>
      </c>
      <c r="CE130" s="25">
        <v>1.90016E+18</v>
      </c>
    </row>
    <row r="131" spans="1:83" x14ac:dyDescent="0.2">
      <c r="A131" s="6" t="s">
        <v>619</v>
      </c>
      <c r="B131" s="24">
        <v>45827.368692129632</v>
      </c>
      <c r="C131" s="6" t="s">
        <v>620</v>
      </c>
      <c r="D131" s="6" t="s">
        <v>208</v>
      </c>
      <c r="E131" s="6">
        <v>3606</v>
      </c>
      <c r="F131" s="6">
        <v>17235.73</v>
      </c>
      <c r="G131" s="6">
        <v>3608</v>
      </c>
      <c r="H131" s="6">
        <v>170</v>
      </c>
      <c r="I131" s="6">
        <v>13.938000000000001</v>
      </c>
      <c r="J131" s="6">
        <v>4.7750000000000004</v>
      </c>
      <c r="K131" s="6" t="b">
        <v>1</v>
      </c>
      <c r="L131" s="6">
        <v>128</v>
      </c>
      <c r="M131" s="6">
        <v>103</v>
      </c>
      <c r="N131" s="6">
        <v>74.714759999999998</v>
      </c>
      <c r="O131" s="6">
        <v>369</v>
      </c>
      <c r="P131" s="6" t="b">
        <v>1</v>
      </c>
      <c r="Q131" s="6">
        <v>107</v>
      </c>
      <c r="R131" s="6">
        <v>110</v>
      </c>
      <c r="S131" s="6">
        <v>386708</v>
      </c>
      <c r="T131" s="6">
        <v>42.801555999999998</v>
      </c>
      <c r="U131" s="6">
        <v>18</v>
      </c>
      <c r="X131" s="6">
        <v>4.7797365000000003</v>
      </c>
      <c r="Y131" s="6">
        <v>55.270705999999997</v>
      </c>
      <c r="Z131" s="6">
        <v>47.367992000000001</v>
      </c>
      <c r="AA131" s="6">
        <v>205</v>
      </c>
      <c r="AB131" s="6">
        <v>1.0280374000000001</v>
      </c>
      <c r="AC131" s="6">
        <v>1.0679612000000001</v>
      </c>
      <c r="AD131" s="6" t="b">
        <v>1</v>
      </c>
      <c r="AE131" s="6" t="b">
        <v>0</v>
      </c>
      <c r="AF131" s="6" t="b">
        <v>0</v>
      </c>
      <c r="AH131" s="6">
        <v>257</v>
      </c>
      <c r="AL131" s="6">
        <v>18</v>
      </c>
      <c r="AM131" s="6">
        <v>25</v>
      </c>
      <c r="AO131" s="6">
        <v>52</v>
      </c>
      <c r="AP131" s="6">
        <v>155</v>
      </c>
      <c r="AQ131" s="6">
        <v>124</v>
      </c>
      <c r="AR131" s="6">
        <v>138</v>
      </c>
      <c r="AS131" s="6">
        <v>144</v>
      </c>
      <c r="AT131" s="6">
        <v>154</v>
      </c>
      <c r="AU131" s="6">
        <v>158</v>
      </c>
      <c r="AV131" s="6">
        <v>163</v>
      </c>
      <c r="AW131" s="6">
        <v>190</v>
      </c>
      <c r="AX131" s="6">
        <v>3541</v>
      </c>
      <c r="AY131" s="6">
        <v>65</v>
      </c>
      <c r="AZ131" s="6">
        <v>0</v>
      </c>
      <c r="BA131" s="6">
        <v>0</v>
      </c>
      <c r="BB131" s="6">
        <v>0</v>
      </c>
      <c r="BC131" s="6">
        <v>0</v>
      </c>
      <c r="BD131" s="6">
        <v>0</v>
      </c>
      <c r="BE131" s="6">
        <v>3600</v>
      </c>
      <c r="BF131" s="6">
        <v>6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90</v>
      </c>
      <c r="BN131" s="6" t="b">
        <v>0</v>
      </c>
      <c r="BO131" s="6" t="b">
        <v>0</v>
      </c>
      <c r="BP131" s="6" t="b">
        <v>0</v>
      </c>
      <c r="BQ131" s="6">
        <v>3607</v>
      </c>
      <c r="BR131" s="6">
        <v>1200</v>
      </c>
      <c r="BS131" s="6">
        <v>600</v>
      </c>
      <c r="BW131" s="6">
        <v>107</v>
      </c>
      <c r="BX131" s="6">
        <v>105</v>
      </c>
      <c r="BY131" s="6">
        <v>7977</v>
      </c>
      <c r="BZ131" s="6">
        <v>156</v>
      </c>
      <c r="CA131" s="6" t="s">
        <v>621</v>
      </c>
      <c r="CB131" s="6" t="s">
        <v>622</v>
      </c>
      <c r="CD131" s="6" t="s">
        <v>196</v>
      </c>
      <c r="CE131" s="25">
        <v>1.89948E+18</v>
      </c>
    </row>
    <row r="132" spans="1:83" x14ac:dyDescent="0.2">
      <c r="A132" s="6" t="s">
        <v>623</v>
      </c>
      <c r="B132" s="24">
        <v>45826.303356481483</v>
      </c>
      <c r="C132" s="6" t="s">
        <v>485</v>
      </c>
      <c r="D132" s="6" t="s">
        <v>208</v>
      </c>
      <c r="E132" s="6">
        <v>2406</v>
      </c>
      <c r="F132" s="6">
        <v>13109.78</v>
      </c>
      <c r="G132" s="6">
        <v>2410</v>
      </c>
      <c r="H132" s="6">
        <v>109</v>
      </c>
      <c r="I132" s="6">
        <v>17.323</v>
      </c>
      <c r="J132" s="6">
        <v>5.4390000000000001</v>
      </c>
      <c r="K132" s="6" t="b">
        <v>1</v>
      </c>
      <c r="L132" s="6">
        <v>116</v>
      </c>
      <c r="M132" s="6">
        <v>95</v>
      </c>
      <c r="N132" s="6">
        <v>71.514229999999998</v>
      </c>
      <c r="O132" s="6">
        <v>203</v>
      </c>
      <c r="P132" s="6" t="b">
        <v>1</v>
      </c>
      <c r="Q132" s="6">
        <v>89</v>
      </c>
      <c r="R132" s="6">
        <v>89</v>
      </c>
      <c r="S132" s="6">
        <v>213536</v>
      </c>
      <c r="T132" s="6">
        <v>34.630352000000002</v>
      </c>
      <c r="U132" s="6">
        <v>8</v>
      </c>
      <c r="X132" s="6">
        <v>5.4487863000000001</v>
      </c>
      <c r="Y132" s="6">
        <v>60.994183</v>
      </c>
      <c r="Z132" s="6">
        <v>48.075623</v>
      </c>
      <c r="AA132" s="6">
        <v>205</v>
      </c>
      <c r="AB132" s="6">
        <v>1</v>
      </c>
      <c r="AC132" s="6">
        <v>0.93684210000000001</v>
      </c>
      <c r="AD132" s="6" t="b">
        <v>1</v>
      </c>
      <c r="AE132" s="6" t="b">
        <v>0</v>
      </c>
      <c r="AF132" s="6" t="b">
        <v>0</v>
      </c>
      <c r="AH132" s="6">
        <v>257</v>
      </c>
      <c r="AL132" s="6">
        <v>8</v>
      </c>
      <c r="AM132" s="6">
        <v>12</v>
      </c>
      <c r="AO132" s="6">
        <v>52</v>
      </c>
      <c r="AP132" s="6">
        <v>155</v>
      </c>
      <c r="AQ132" s="6">
        <v>124</v>
      </c>
      <c r="AR132" s="6">
        <v>138</v>
      </c>
      <c r="AS132" s="6">
        <v>144</v>
      </c>
      <c r="AT132" s="6">
        <v>154</v>
      </c>
      <c r="AU132" s="6">
        <v>158</v>
      </c>
      <c r="AV132" s="6">
        <v>163</v>
      </c>
      <c r="AW132" s="6">
        <v>190</v>
      </c>
      <c r="AX132" s="6">
        <v>2406</v>
      </c>
      <c r="AY132" s="6">
        <v>0</v>
      </c>
      <c r="AZ132" s="6">
        <v>0</v>
      </c>
      <c r="BA132" s="6">
        <v>0</v>
      </c>
      <c r="BB132" s="6">
        <v>0</v>
      </c>
      <c r="BC132" s="6">
        <v>0</v>
      </c>
      <c r="BD132" s="6">
        <v>0</v>
      </c>
      <c r="BE132" s="6">
        <v>2404</v>
      </c>
      <c r="BF132" s="6">
        <v>2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90</v>
      </c>
      <c r="BN132" s="6" t="b">
        <v>0</v>
      </c>
      <c r="BO132" s="6" t="b">
        <v>0</v>
      </c>
      <c r="BP132" s="6" t="b">
        <v>0</v>
      </c>
      <c r="BQ132" s="6">
        <v>2409</v>
      </c>
      <c r="BR132" s="6">
        <v>0</v>
      </c>
      <c r="BS132" s="6">
        <v>0</v>
      </c>
      <c r="BW132" s="6">
        <v>87</v>
      </c>
      <c r="BX132" s="6">
        <v>86</v>
      </c>
      <c r="BY132" s="6">
        <v>6574</v>
      </c>
      <c r="BZ132" s="6">
        <v>190</v>
      </c>
      <c r="CA132" s="6" t="s">
        <v>624</v>
      </c>
      <c r="CB132" s="6" t="s">
        <v>622</v>
      </c>
      <c r="CD132" s="6" t="s">
        <v>196</v>
      </c>
      <c r="CE132" s="25">
        <v>1.89871E+18</v>
      </c>
    </row>
    <row r="133" spans="1:83" x14ac:dyDescent="0.2">
      <c r="A133" s="6" t="s">
        <v>625</v>
      </c>
      <c r="B133" s="24">
        <v>45826.267141203702</v>
      </c>
      <c r="C133" s="6" t="s">
        <v>626</v>
      </c>
      <c r="D133" s="6" t="s">
        <v>208</v>
      </c>
      <c r="E133" s="6">
        <v>3002</v>
      </c>
      <c r="F133" s="6">
        <v>23747.47</v>
      </c>
      <c r="G133" s="6">
        <v>3004</v>
      </c>
      <c r="H133" s="6">
        <v>181</v>
      </c>
      <c r="I133" s="6">
        <v>15.721</v>
      </c>
      <c r="J133" s="6">
        <v>7.9020000000000001</v>
      </c>
      <c r="K133" s="6" t="b">
        <v>1</v>
      </c>
      <c r="L133" s="6">
        <v>145</v>
      </c>
      <c r="M133" s="6">
        <v>114</v>
      </c>
      <c r="N133" s="6">
        <v>75.468699999999998</v>
      </c>
      <c r="O133" s="6">
        <v>419</v>
      </c>
      <c r="P133" s="6" t="b">
        <v>1</v>
      </c>
      <c r="Q133" s="6">
        <v>146</v>
      </c>
      <c r="R133" s="6">
        <v>168</v>
      </c>
      <c r="S133" s="6">
        <v>439525</v>
      </c>
      <c r="T133" s="6">
        <v>65.369649999999993</v>
      </c>
      <c r="U133" s="6">
        <v>36</v>
      </c>
      <c r="X133" s="6">
        <v>7.9105496000000004</v>
      </c>
      <c r="Y133" s="6">
        <v>60.994183</v>
      </c>
      <c r="Z133" s="6">
        <v>48.075623</v>
      </c>
      <c r="AA133" s="6">
        <v>205</v>
      </c>
      <c r="AB133" s="6">
        <v>1.150685</v>
      </c>
      <c r="AC133" s="6">
        <v>1.4736842000000001</v>
      </c>
      <c r="AD133" s="6" t="b">
        <v>1</v>
      </c>
      <c r="AE133" s="6" t="b">
        <v>0</v>
      </c>
      <c r="AF133" s="6" t="b">
        <v>0</v>
      </c>
      <c r="AH133" s="6">
        <v>257</v>
      </c>
      <c r="AL133" s="6">
        <v>36</v>
      </c>
      <c r="AM133" s="6">
        <v>30</v>
      </c>
      <c r="AO133" s="6">
        <v>52</v>
      </c>
      <c r="AP133" s="6">
        <v>155</v>
      </c>
      <c r="AQ133" s="6">
        <v>124</v>
      </c>
      <c r="AR133" s="6">
        <v>138</v>
      </c>
      <c r="AS133" s="6">
        <v>144</v>
      </c>
      <c r="AT133" s="6">
        <v>154</v>
      </c>
      <c r="AU133" s="6">
        <v>158</v>
      </c>
      <c r="AV133" s="6">
        <v>163</v>
      </c>
      <c r="AW133" s="6">
        <v>190</v>
      </c>
      <c r="AX133" s="6">
        <v>2318</v>
      </c>
      <c r="AY133" s="6">
        <v>540</v>
      </c>
      <c r="AZ133" s="6">
        <v>128</v>
      </c>
      <c r="BA133" s="6">
        <v>16</v>
      </c>
      <c r="BB133" s="6">
        <v>0</v>
      </c>
      <c r="BC133" s="6">
        <v>0</v>
      </c>
      <c r="BD133" s="6">
        <v>0</v>
      </c>
      <c r="BE133" s="6">
        <v>1965</v>
      </c>
      <c r="BF133" s="6">
        <v>384</v>
      </c>
      <c r="BG133" s="6">
        <v>364</v>
      </c>
      <c r="BH133" s="6">
        <v>238</v>
      </c>
      <c r="BI133" s="6">
        <v>51</v>
      </c>
      <c r="BJ133" s="6">
        <v>0</v>
      </c>
      <c r="BK133" s="6">
        <v>0</v>
      </c>
      <c r="BL133" s="6">
        <v>239</v>
      </c>
      <c r="BM133" s="6">
        <v>90</v>
      </c>
      <c r="BN133" s="6" t="b">
        <v>0</v>
      </c>
      <c r="BO133" s="6" t="b">
        <v>0</v>
      </c>
      <c r="BP133" s="6" t="b">
        <v>0</v>
      </c>
      <c r="BQ133" s="6">
        <v>3003</v>
      </c>
      <c r="BR133" s="6">
        <v>0</v>
      </c>
      <c r="BS133" s="6">
        <v>0</v>
      </c>
      <c r="BW133" s="6">
        <v>162</v>
      </c>
      <c r="BX133" s="6">
        <v>159</v>
      </c>
      <c r="BY133" s="6">
        <v>14013</v>
      </c>
      <c r="BZ133" s="6">
        <v>297</v>
      </c>
      <c r="CA133" s="6" t="s">
        <v>627</v>
      </c>
      <c r="CB133" s="6" t="s">
        <v>622</v>
      </c>
      <c r="CD133" s="6" t="s">
        <v>196</v>
      </c>
      <c r="CE133" s="25">
        <v>1.89868E+18</v>
      </c>
    </row>
    <row r="134" spans="1:83" x14ac:dyDescent="0.2">
      <c r="A134" s="6" t="s">
        <v>628</v>
      </c>
      <c r="B134" s="24">
        <v>45825.341087962966</v>
      </c>
      <c r="C134" s="6" t="s">
        <v>629</v>
      </c>
      <c r="D134" s="6" t="s">
        <v>208</v>
      </c>
      <c r="E134" s="6">
        <v>3607</v>
      </c>
      <c r="F134" s="6">
        <v>21748</v>
      </c>
      <c r="G134" s="6">
        <v>3645</v>
      </c>
      <c r="H134" s="6">
        <v>296</v>
      </c>
      <c r="I134" s="6">
        <v>16.053000000000001</v>
      </c>
      <c r="J134" s="6">
        <v>6.0190000000000001</v>
      </c>
      <c r="K134" s="6" t="b">
        <v>1</v>
      </c>
      <c r="L134" s="6">
        <v>129</v>
      </c>
      <c r="M134" s="6">
        <v>112</v>
      </c>
      <c r="N134" s="6">
        <v>74.914664999999999</v>
      </c>
      <c r="O134" s="6">
        <v>477</v>
      </c>
      <c r="P134" s="6" t="b">
        <v>1</v>
      </c>
      <c r="Q134" s="6">
        <v>138</v>
      </c>
      <c r="R134" s="6">
        <v>139</v>
      </c>
      <c r="S134" s="6">
        <v>499869</v>
      </c>
      <c r="T134" s="6">
        <v>54.085599999999999</v>
      </c>
      <c r="U134" s="6">
        <v>29</v>
      </c>
      <c r="X134" s="6">
        <v>6.0293875000000003</v>
      </c>
      <c r="Y134" s="6">
        <v>63.603892999999999</v>
      </c>
      <c r="Z134" s="6">
        <v>48.173824000000003</v>
      </c>
      <c r="AA134" s="6">
        <v>206</v>
      </c>
      <c r="AB134" s="6">
        <v>1.0072464000000001</v>
      </c>
      <c r="AC134" s="6">
        <v>1.2410715000000001</v>
      </c>
      <c r="AD134" s="6" t="b">
        <v>1</v>
      </c>
      <c r="AE134" s="6" t="b">
        <v>0</v>
      </c>
      <c r="AF134" s="6" t="b">
        <v>0</v>
      </c>
      <c r="AH134" s="6">
        <v>257</v>
      </c>
      <c r="AL134" s="6">
        <v>29</v>
      </c>
      <c r="AM134" s="6">
        <v>33</v>
      </c>
      <c r="AO134" s="6">
        <v>52</v>
      </c>
      <c r="AP134" s="6">
        <v>155</v>
      </c>
      <c r="AQ134" s="6">
        <v>124</v>
      </c>
      <c r="AR134" s="6">
        <v>138</v>
      </c>
      <c r="AS134" s="6">
        <v>144</v>
      </c>
      <c r="AT134" s="6">
        <v>154</v>
      </c>
      <c r="AU134" s="6">
        <v>158</v>
      </c>
      <c r="AV134" s="6">
        <v>163</v>
      </c>
      <c r="AW134" s="6">
        <v>190</v>
      </c>
      <c r="AX134" s="6">
        <v>3481</v>
      </c>
      <c r="AY134" s="6">
        <v>126</v>
      </c>
      <c r="AZ134" s="6">
        <v>0</v>
      </c>
      <c r="BA134" s="6">
        <v>0</v>
      </c>
      <c r="BB134" s="6">
        <v>0</v>
      </c>
      <c r="BC134" s="6">
        <v>0</v>
      </c>
      <c r="BD134" s="6">
        <v>0</v>
      </c>
      <c r="BE134" s="6">
        <v>3335</v>
      </c>
      <c r="BF134" s="6">
        <v>272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90</v>
      </c>
      <c r="BN134" s="6" t="b">
        <v>0</v>
      </c>
      <c r="BO134" s="6" t="b">
        <v>0</v>
      </c>
      <c r="BP134" s="6" t="b">
        <v>0</v>
      </c>
      <c r="BQ134" s="6">
        <v>3610</v>
      </c>
      <c r="BR134" s="6">
        <v>1200</v>
      </c>
      <c r="BS134" s="6">
        <v>600</v>
      </c>
      <c r="BW134" s="6">
        <v>139</v>
      </c>
      <c r="BX134" s="6">
        <v>137</v>
      </c>
      <c r="BY134" s="6">
        <v>10409</v>
      </c>
      <c r="BZ134" s="6">
        <v>182</v>
      </c>
      <c r="CA134" s="6" t="s">
        <v>630</v>
      </c>
      <c r="CB134" s="6" t="s">
        <v>631</v>
      </c>
      <c r="CD134" s="6" t="s">
        <v>196</v>
      </c>
      <c r="CE134" s="25">
        <v>1.89801E+18</v>
      </c>
    </row>
    <row r="135" spans="1:83" x14ac:dyDescent="0.2">
      <c r="A135" s="6" t="s">
        <v>632</v>
      </c>
      <c r="B135" s="24">
        <v>45823.785601851851</v>
      </c>
      <c r="C135" s="6" t="s">
        <v>633</v>
      </c>
      <c r="D135" s="6" t="s">
        <v>208</v>
      </c>
      <c r="E135" s="6">
        <v>1846</v>
      </c>
      <c r="F135" s="6">
        <v>11925.39</v>
      </c>
      <c r="G135" s="6">
        <v>1846</v>
      </c>
      <c r="H135" s="6">
        <v>155</v>
      </c>
      <c r="I135" s="6">
        <v>14.867000000000001</v>
      </c>
      <c r="J135" s="6">
        <v>6.4560000000000004</v>
      </c>
      <c r="K135" s="6"/>
      <c r="L135" s="6">
        <v>0</v>
      </c>
      <c r="M135" s="6">
        <v>0</v>
      </c>
      <c r="N135" s="6">
        <v>78.467879999999994</v>
      </c>
      <c r="O135" s="6">
        <v>262</v>
      </c>
      <c r="P135" s="6" t="b">
        <v>1</v>
      </c>
      <c r="Q135" s="6">
        <v>149</v>
      </c>
      <c r="R135" s="6">
        <v>168</v>
      </c>
      <c r="S135" s="6">
        <v>275415</v>
      </c>
      <c r="T135" s="6">
        <v>65.369649999999993</v>
      </c>
      <c r="U135" s="6">
        <v>22</v>
      </c>
      <c r="X135" s="6">
        <v>6.4601245</v>
      </c>
      <c r="Y135" s="6">
        <v>79.501204999999999</v>
      </c>
      <c r="Z135" s="6">
        <v>49.807713</v>
      </c>
      <c r="AA135" s="6">
        <v>206</v>
      </c>
      <c r="AB135" s="6">
        <v>1.1275166999999999</v>
      </c>
      <c r="AC135" s="6"/>
      <c r="AD135" s="6" t="b">
        <v>1</v>
      </c>
      <c r="AE135" s="6" t="b">
        <v>0</v>
      </c>
      <c r="AF135" s="6" t="b">
        <v>0</v>
      </c>
      <c r="AH135" s="6">
        <v>257</v>
      </c>
      <c r="AL135" s="6">
        <v>22</v>
      </c>
      <c r="AM135" s="6"/>
      <c r="AO135" s="6">
        <v>52</v>
      </c>
      <c r="AP135" s="6">
        <v>155</v>
      </c>
      <c r="AQ135" s="6">
        <v>124</v>
      </c>
      <c r="AR135" s="6">
        <v>138</v>
      </c>
      <c r="AS135" s="6">
        <v>144</v>
      </c>
      <c r="AT135" s="6">
        <v>154</v>
      </c>
      <c r="AU135" s="6">
        <v>158</v>
      </c>
      <c r="AV135" s="6">
        <v>163</v>
      </c>
      <c r="AW135" s="6">
        <v>190</v>
      </c>
      <c r="AX135" s="6"/>
      <c r="AY135" s="6"/>
      <c r="AZ135" s="6"/>
      <c r="BA135" s="6"/>
      <c r="BB135" s="6"/>
      <c r="BC135" s="6"/>
      <c r="BD135" s="6"/>
      <c r="BE135" s="6">
        <v>1064</v>
      </c>
      <c r="BF135" s="6">
        <v>447</v>
      </c>
      <c r="BG135" s="6">
        <v>193</v>
      </c>
      <c r="BH135" s="6">
        <v>118</v>
      </c>
      <c r="BI135" s="6">
        <v>25</v>
      </c>
      <c r="BJ135" s="6">
        <v>0</v>
      </c>
      <c r="BK135" s="6">
        <v>0</v>
      </c>
      <c r="BL135" s="6">
        <v>120</v>
      </c>
      <c r="BM135" s="6">
        <v>90</v>
      </c>
      <c r="BN135" s="6" t="b">
        <v>0</v>
      </c>
      <c r="BO135" s="6" t="b">
        <v>0</v>
      </c>
      <c r="BP135" s="6" t="b">
        <v>0</v>
      </c>
      <c r="BQ135" s="6">
        <v>1845</v>
      </c>
      <c r="BR135" s="6">
        <v>0</v>
      </c>
      <c r="BS135" s="6">
        <v>0</v>
      </c>
      <c r="BW135" s="6">
        <v>163</v>
      </c>
      <c r="BX135" s="6">
        <v>160</v>
      </c>
      <c r="BY135" s="6">
        <v>14452</v>
      </c>
      <c r="BZ135" s="6">
        <v>284</v>
      </c>
      <c r="CA135" s="6" t="s">
        <v>634</v>
      </c>
      <c r="CB135" s="6" t="s">
        <v>631</v>
      </c>
      <c r="CD135" s="6" t="s">
        <v>196</v>
      </c>
      <c r="CE135" s="25">
        <v>1.89689E+18</v>
      </c>
    </row>
    <row r="136" spans="1:83" x14ac:dyDescent="0.2">
      <c r="A136" s="6" t="s">
        <v>635</v>
      </c>
      <c r="B136" s="24">
        <v>45823.340405092589</v>
      </c>
      <c r="C136" s="6" t="s">
        <v>636</v>
      </c>
      <c r="D136" s="6" t="s">
        <v>208</v>
      </c>
      <c r="E136" s="6">
        <v>5023</v>
      </c>
      <c r="F136" s="6">
        <v>39475.360000000001</v>
      </c>
      <c r="G136" s="6">
        <v>5026</v>
      </c>
      <c r="H136" s="6">
        <v>155</v>
      </c>
      <c r="I136" s="6">
        <v>14.234999999999999</v>
      </c>
      <c r="J136" s="6">
        <v>7.8520000000000003</v>
      </c>
      <c r="K136" s="6"/>
      <c r="L136" s="6">
        <v>0</v>
      </c>
      <c r="M136" s="6">
        <v>0</v>
      </c>
      <c r="N136" s="6">
        <v>73.612815999999995</v>
      </c>
      <c r="O136" s="6">
        <v>718</v>
      </c>
      <c r="P136" s="6" t="b">
        <v>1</v>
      </c>
      <c r="Q136" s="6">
        <v>150</v>
      </c>
      <c r="R136" s="6">
        <v>179</v>
      </c>
      <c r="S136" s="6">
        <v>752341</v>
      </c>
      <c r="T136" s="6">
        <v>69.649799999999999</v>
      </c>
      <c r="U136" s="6">
        <v>68</v>
      </c>
      <c r="X136" s="6">
        <v>7.8589209999999996</v>
      </c>
      <c r="Y136" s="6">
        <v>79.501204999999999</v>
      </c>
      <c r="Z136" s="6">
        <v>49.807713</v>
      </c>
      <c r="AA136" s="6">
        <v>206</v>
      </c>
      <c r="AB136" s="6">
        <v>1.1933334</v>
      </c>
      <c r="AC136" s="6"/>
      <c r="AD136" s="6" t="b">
        <v>1</v>
      </c>
      <c r="AE136" s="6" t="b">
        <v>0</v>
      </c>
      <c r="AF136" s="6" t="b">
        <v>0</v>
      </c>
      <c r="AH136" s="6">
        <v>257</v>
      </c>
      <c r="AL136" s="6">
        <v>68</v>
      </c>
      <c r="AM136" s="6"/>
      <c r="AO136" s="6">
        <v>52</v>
      </c>
      <c r="AP136" s="6">
        <v>155</v>
      </c>
      <c r="AQ136" s="6">
        <v>124</v>
      </c>
      <c r="AR136" s="6">
        <v>138</v>
      </c>
      <c r="AS136" s="6">
        <v>144</v>
      </c>
      <c r="AT136" s="6">
        <v>154</v>
      </c>
      <c r="AU136" s="6">
        <v>158</v>
      </c>
      <c r="AV136" s="6">
        <v>163</v>
      </c>
      <c r="AW136" s="6">
        <v>190</v>
      </c>
      <c r="AX136" s="6"/>
      <c r="AY136" s="6"/>
      <c r="AZ136" s="6"/>
      <c r="BA136" s="6"/>
      <c r="BB136" s="6"/>
      <c r="BC136" s="6"/>
      <c r="BD136" s="6"/>
      <c r="BE136" s="6">
        <v>2747</v>
      </c>
      <c r="BF136" s="6">
        <v>355</v>
      </c>
      <c r="BG136" s="6">
        <v>1826</v>
      </c>
      <c r="BH136" s="6">
        <v>5</v>
      </c>
      <c r="BI136" s="6">
        <v>4</v>
      </c>
      <c r="BJ136" s="6">
        <v>11</v>
      </c>
      <c r="BK136" s="6">
        <v>75</v>
      </c>
      <c r="BL136" s="6">
        <v>312</v>
      </c>
      <c r="BM136" s="6">
        <v>90</v>
      </c>
      <c r="BN136" s="6" t="b">
        <v>0</v>
      </c>
      <c r="BO136" s="6" t="b">
        <v>0</v>
      </c>
      <c r="BP136" s="6" t="b">
        <v>0</v>
      </c>
      <c r="BQ136" s="6">
        <v>5025</v>
      </c>
      <c r="BR136" s="6">
        <v>1200</v>
      </c>
      <c r="BS136" s="6">
        <v>600</v>
      </c>
      <c r="BW136" s="6">
        <v>191</v>
      </c>
      <c r="BX136" s="6">
        <v>188</v>
      </c>
      <c r="BY136" s="6">
        <v>13469</v>
      </c>
      <c r="BZ136" s="6">
        <v>446</v>
      </c>
      <c r="CA136" s="6" t="s">
        <v>637</v>
      </c>
      <c r="CB136" s="6" t="s">
        <v>631</v>
      </c>
      <c r="CD136" s="6" t="s">
        <v>196</v>
      </c>
      <c r="CE136" s="25">
        <v>1.89656E+18</v>
      </c>
    </row>
    <row r="137" spans="1:83" x14ac:dyDescent="0.2">
      <c r="A137" s="6" t="s">
        <v>638</v>
      </c>
      <c r="B137" s="24">
        <v>45822.786921296298</v>
      </c>
      <c r="C137" s="6" t="s">
        <v>639</v>
      </c>
      <c r="D137" s="6" t="s">
        <v>208</v>
      </c>
      <c r="E137" s="6">
        <v>2402</v>
      </c>
      <c r="F137" s="6">
        <v>14069.81</v>
      </c>
      <c r="G137" s="6">
        <v>2441</v>
      </c>
      <c r="H137" s="6">
        <v>89</v>
      </c>
      <c r="I137" s="6">
        <v>11.759</v>
      </c>
      <c r="J137" s="6">
        <v>5.8449999999999998</v>
      </c>
      <c r="K137" s="6" t="b">
        <v>1</v>
      </c>
      <c r="L137" s="6">
        <v>115</v>
      </c>
      <c r="M137" s="6">
        <v>97</v>
      </c>
      <c r="N137" s="6">
        <v>74.98357</v>
      </c>
      <c r="O137" s="6">
        <v>202</v>
      </c>
      <c r="P137" s="6" t="b">
        <v>1</v>
      </c>
      <c r="Q137" s="6">
        <v>88</v>
      </c>
      <c r="R137" s="6">
        <v>89</v>
      </c>
      <c r="S137" s="6">
        <v>211888</v>
      </c>
      <c r="T137" s="6">
        <v>34.630352000000002</v>
      </c>
      <c r="U137" s="6">
        <v>8</v>
      </c>
      <c r="X137" s="6">
        <v>5.8575390000000001</v>
      </c>
      <c r="Y137" s="6">
        <v>77.888953999999998</v>
      </c>
      <c r="Z137" s="6">
        <v>48.839269999999999</v>
      </c>
      <c r="AA137" s="6">
        <v>206</v>
      </c>
      <c r="AB137" s="6">
        <v>1.0113635999999999</v>
      </c>
      <c r="AC137" s="6">
        <v>0.91752577000000002</v>
      </c>
      <c r="AD137" s="6" t="b">
        <v>1</v>
      </c>
      <c r="AE137" s="6" t="b">
        <v>0</v>
      </c>
      <c r="AF137" s="6" t="b">
        <v>0</v>
      </c>
      <c r="AH137" s="6">
        <v>257</v>
      </c>
      <c r="AL137" s="6">
        <v>8</v>
      </c>
      <c r="AM137" s="6">
        <v>13</v>
      </c>
      <c r="AO137" s="6">
        <v>52</v>
      </c>
      <c r="AP137" s="6">
        <v>155</v>
      </c>
      <c r="AQ137" s="6">
        <v>124</v>
      </c>
      <c r="AR137" s="6">
        <v>138</v>
      </c>
      <c r="AS137" s="6">
        <v>144</v>
      </c>
      <c r="AT137" s="6">
        <v>154</v>
      </c>
      <c r="AU137" s="6">
        <v>158</v>
      </c>
      <c r="AV137" s="6">
        <v>163</v>
      </c>
      <c r="AW137" s="6">
        <v>190</v>
      </c>
      <c r="AX137" s="6">
        <v>2402</v>
      </c>
      <c r="AY137" s="6">
        <v>0</v>
      </c>
      <c r="AZ137" s="6">
        <v>0</v>
      </c>
      <c r="BA137" s="6">
        <v>0</v>
      </c>
      <c r="BB137" s="6">
        <v>0</v>
      </c>
      <c r="BC137" s="6">
        <v>0</v>
      </c>
      <c r="BD137" s="6">
        <v>0</v>
      </c>
      <c r="BE137" s="6">
        <v>2402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90</v>
      </c>
      <c r="BN137" s="6" t="b">
        <v>0</v>
      </c>
      <c r="BO137" s="6" t="b">
        <v>0</v>
      </c>
      <c r="BP137" s="6" t="b">
        <v>0</v>
      </c>
      <c r="BQ137" s="6">
        <v>2404</v>
      </c>
      <c r="BR137" s="6">
        <v>0</v>
      </c>
      <c r="BS137" s="6">
        <v>0</v>
      </c>
      <c r="BW137" s="6">
        <v>87</v>
      </c>
      <c r="BX137" s="6">
        <v>86</v>
      </c>
      <c r="BY137" s="6">
        <v>6532</v>
      </c>
      <c r="BZ137" s="6">
        <v>147</v>
      </c>
      <c r="CA137" s="6" t="s">
        <v>640</v>
      </c>
      <c r="CB137" s="6" t="s">
        <v>641</v>
      </c>
      <c r="CD137" s="6" t="s">
        <v>196</v>
      </c>
      <c r="CE137" s="25">
        <v>1.89616E+18</v>
      </c>
    </row>
    <row r="138" spans="1:83" x14ac:dyDescent="0.2">
      <c r="A138" s="6" t="s">
        <v>642</v>
      </c>
      <c r="B138" s="24">
        <v>45822.282280092593</v>
      </c>
      <c r="C138" s="6" t="s">
        <v>643</v>
      </c>
      <c r="D138" s="6" t="s">
        <v>208</v>
      </c>
      <c r="E138" s="6">
        <v>7209</v>
      </c>
      <c r="F138" s="6">
        <v>51461.32</v>
      </c>
      <c r="G138" s="6">
        <v>7232</v>
      </c>
      <c r="H138" s="6">
        <v>402</v>
      </c>
      <c r="I138" s="6">
        <v>18.091000000000001</v>
      </c>
      <c r="J138" s="6">
        <v>7.1340000000000003</v>
      </c>
      <c r="K138" s="6" t="b">
        <v>1</v>
      </c>
      <c r="L138" s="6">
        <v>151</v>
      </c>
      <c r="M138" s="6">
        <v>124</v>
      </c>
      <c r="N138" s="6">
        <v>70.708209999999994</v>
      </c>
      <c r="O138" s="6">
        <v>961</v>
      </c>
      <c r="P138" s="6" t="b">
        <v>1</v>
      </c>
      <c r="Q138" s="6">
        <v>139</v>
      </c>
      <c r="R138" s="6">
        <v>165</v>
      </c>
      <c r="S138" s="6">
        <v>1008630</v>
      </c>
      <c r="T138" s="6">
        <v>64.202330000000003</v>
      </c>
      <c r="U138" s="6">
        <v>83</v>
      </c>
      <c r="X138" s="6">
        <v>7.1384825999999997</v>
      </c>
      <c r="Y138" s="6">
        <v>77.888953999999998</v>
      </c>
      <c r="Z138" s="6">
        <v>48.839269999999999</v>
      </c>
      <c r="AA138" s="6">
        <v>206</v>
      </c>
      <c r="AB138" s="6">
        <v>1.1870502999999999</v>
      </c>
      <c r="AC138" s="6">
        <v>1.3306452</v>
      </c>
      <c r="AD138" s="6" t="b">
        <v>1</v>
      </c>
      <c r="AE138" s="6" t="b">
        <v>0</v>
      </c>
      <c r="AF138" s="6" t="b">
        <v>0</v>
      </c>
      <c r="AH138" s="6">
        <v>257</v>
      </c>
      <c r="AL138" s="6">
        <v>83</v>
      </c>
      <c r="AM138" s="6">
        <v>96</v>
      </c>
      <c r="AO138" s="6">
        <v>52</v>
      </c>
      <c r="AP138" s="6">
        <v>155</v>
      </c>
      <c r="AQ138" s="6">
        <v>124</v>
      </c>
      <c r="AR138" s="6">
        <v>138</v>
      </c>
      <c r="AS138" s="6">
        <v>144</v>
      </c>
      <c r="AT138" s="6">
        <v>154</v>
      </c>
      <c r="AU138" s="6">
        <v>158</v>
      </c>
      <c r="AV138" s="6">
        <v>163</v>
      </c>
      <c r="AW138" s="6">
        <v>190</v>
      </c>
      <c r="AX138" s="6">
        <v>4375</v>
      </c>
      <c r="AY138" s="6">
        <v>1642</v>
      </c>
      <c r="AZ138" s="6">
        <v>472</v>
      </c>
      <c r="BA138" s="6">
        <v>720</v>
      </c>
      <c r="BB138" s="6">
        <v>0</v>
      </c>
      <c r="BC138" s="6">
        <v>0</v>
      </c>
      <c r="BD138" s="6">
        <v>0</v>
      </c>
      <c r="BE138" s="6">
        <v>5852</v>
      </c>
      <c r="BF138" s="6">
        <v>164</v>
      </c>
      <c r="BG138" s="6">
        <v>70</v>
      </c>
      <c r="BH138" s="6">
        <v>1123</v>
      </c>
      <c r="BI138" s="6">
        <v>0</v>
      </c>
      <c r="BJ138" s="6">
        <v>0</v>
      </c>
      <c r="BK138" s="6">
        <v>0</v>
      </c>
      <c r="BL138" s="6">
        <v>1146</v>
      </c>
      <c r="BM138" s="6">
        <v>90</v>
      </c>
      <c r="BN138" s="6" t="b">
        <v>0</v>
      </c>
      <c r="BO138" s="6" t="b">
        <v>0</v>
      </c>
      <c r="BP138" s="6" t="b">
        <v>0</v>
      </c>
      <c r="BQ138" s="6">
        <v>7231</v>
      </c>
      <c r="BR138" s="6">
        <v>1200</v>
      </c>
      <c r="BS138" s="6">
        <v>600</v>
      </c>
      <c r="BW138" s="6">
        <v>155</v>
      </c>
      <c r="BX138" s="6">
        <v>152</v>
      </c>
      <c r="BY138" s="6">
        <v>12090</v>
      </c>
      <c r="BZ138" s="6">
        <v>270</v>
      </c>
      <c r="CA138" s="6" t="s">
        <v>644</v>
      </c>
      <c r="CB138" s="6" t="s">
        <v>641</v>
      </c>
      <c r="CD138" s="6" t="s">
        <v>196</v>
      </c>
      <c r="CE138" s="25">
        <v>1.8958E+18</v>
      </c>
    </row>
    <row r="139" spans="1:83" x14ac:dyDescent="0.2">
      <c r="A139" s="6" t="s">
        <v>645</v>
      </c>
      <c r="B139" s="24">
        <v>45821.282800925925</v>
      </c>
      <c r="C139" s="6" t="s">
        <v>646</v>
      </c>
      <c r="D139" s="6" t="s">
        <v>208</v>
      </c>
      <c r="E139" s="6">
        <v>4805</v>
      </c>
      <c r="F139" s="6">
        <v>35399.32</v>
      </c>
      <c r="G139" s="6">
        <v>4966</v>
      </c>
      <c r="H139" s="6">
        <v>270</v>
      </c>
      <c r="I139" s="6">
        <v>18.25</v>
      </c>
      <c r="J139" s="6">
        <v>7.3570000000000002</v>
      </c>
      <c r="K139" s="6" t="b">
        <v>1</v>
      </c>
      <c r="L139" s="6">
        <v>148</v>
      </c>
      <c r="M139" s="6">
        <v>124</v>
      </c>
      <c r="N139" s="6">
        <v>75.060310000000001</v>
      </c>
      <c r="O139" s="6">
        <v>677</v>
      </c>
      <c r="P139" s="6" t="b">
        <v>1</v>
      </c>
      <c r="Q139" s="6">
        <v>147</v>
      </c>
      <c r="R139" s="6">
        <v>170</v>
      </c>
      <c r="S139" s="6">
        <v>713561</v>
      </c>
      <c r="T139" s="6">
        <v>66.147859999999994</v>
      </c>
      <c r="U139" s="6">
        <v>58</v>
      </c>
      <c r="X139" s="6">
        <v>7.367184</v>
      </c>
      <c r="Y139" s="6">
        <v>75.875559999999993</v>
      </c>
      <c r="Z139" s="6">
        <v>47.823399999999999</v>
      </c>
      <c r="AA139" s="6">
        <v>206</v>
      </c>
      <c r="AB139" s="6">
        <v>1.1564626</v>
      </c>
      <c r="AC139" s="6">
        <v>1.3709677</v>
      </c>
      <c r="AD139" s="6" t="b">
        <v>1</v>
      </c>
      <c r="AE139" s="6" t="b">
        <v>0</v>
      </c>
      <c r="AF139" s="6" t="b">
        <v>0</v>
      </c>
      <c r="AH139" s="6">
        <v>257</v>
      </c>
      <c r="AL139" s="6">
        <v>58</v>
      </c>
      <c r="AM139" s="6">
        <v>64</v>
      </c>
      <c r="AO139" s="6">
        <v>52</v>
      </c>
      <c r="AP139" s="6">
        <v>155</v>
      </c>
      <c r="AQ139" s="6">
        <v>124</v>
      </c>
      <c r="AR139" s="6">
        <v>138</v>
      </c>
      <c r="AS139" s="6">
        <v>144</v>
      </c>
      <c r="AT139" s="6">
        <v>154</v>
      </c>
      <c r="AU139" s="6">
        <v>158</v>
      </c>
      <c r="AV139" s="6">
        <v>163</v>
      </c>
      <c r="AW139" s="6">
        <v>190</v>
      </c>
      <c r="AX139" s="6">
        <v>2565</v>
      </c>
      <c r="AY139" s="6">
        <v>970</v>
      </c>
      <c r="AZ139" s="6">
        <v>1091</v>
      </c>
      <c r="BA139" s="6">
        <v>179</v>
      </c>
      <c r="BB139" s="6">
        <v>0</v>
      </c>
      <c r="BC139" s="6">
        <v>0</v>
      </c>
      <c r="BD139" s="6">
        <v>0</v>
      </c>
      <c r="BE139" s="6">
        <v>2014</v>
      </c>
      <c r="BF139" s="6">
        <v>836</v>
      </c>
      <c r="BG139" s="6">
        <v>1877</v>
      </c>
      <c r="BH139" s="6">
        <v>78</v>
      </c>
      <c r="BI139" s="6">
        <v>0</v>
      </c>
      <c r="BJ139" s="6">
        <v>0</v>
      </c>
      <c r="BK139" s="6">
        <v>0</v>
      </c>
      <c r="BL139" s="6">
        <v>94</v>
      </c>
      <c r="BM139" s="6">
        <v>90</v>
      </c>
      <c r="BN139" s="6" t="b">
        <v>0</v>
      </c>
      <c r="BO139" s="6" t="b">
        <v>0</v>
      </c>
      <c r="BP139" s="6" t="b">
        <v>0</v>
      </c>
      <c r="BQ139" s="6">
        <v>4851</v>
      </c>
      <c r="BR139" s="6">
        <v>1200</v>
      </c>
      <c r="BS139" s="6">
        <v>600</v>
      </c>
      <c r="BW139" s="6">
        <v>189</v>
      </c>
      <c r="BX139" s="6">
        <v>186</v>
      </c>
      <c r="BY139" s="6">
        <v>13590</v>
      </c>
      <c r="BZ139" s="6">
        <v>275</v>
      </c>
      <c r="CA139" s="6" t="s">
        <v>647</v>
      </c>
      <c r="CB139" s="6" t="s">
        <v>641</v>
      </c>
      <c r="CD139" s="6" t="s">
        <v>196</v>
      </c>
      <c r="CE139" s="25">
        <v>1.89507E+18</v>
      </c>
    </row>
    <row r="140" spans="1:83" x14ac:dyDescent="0.2">
      <c r="A140" s="6" t="s">
        <v>648</v>
      </c>
      <c r="B140" s="24">
        <v>45819.734594907408</v>
      </c>
      <c r="C140" s="6" t="s">
        <v>649</v>
      </c>
      <c r="D140" s="6" t="s">
        <v>208</v>
      </c>
      <c r="E140" s="6">
        <v>2403</v>
      </c>
      <c r="F140" s="6">
        <v>10626.73</v>
      </c>
      <c r="G140" s="6">
        <v>2406</v>
      </c>
      <c r="H140" s="6">
        <v>96</v>
      </c>
      <c r="I140" s="6">
        <v>13.583</v>
      </c>
      <c r="J140" s="6">
        <v>4.4139999999999997</v>
      </c>
      <c r="K140" s="6" t="b">
        <v>1</v>
      </c>
      <c r="L140" s="6">
        <v>125</v>
      </c>
      <c r="M140" s="6">
        <v>105</v>
      </c>
      <c r="N140" s="6">
        <v>77.053730000000002</v>
      </c>
      <c r="O140" s="6">
        <v>205</v>
      </c>
      <c r="P140" s="6" t="b">
        <v>1</v>
      </c>
      <c r="Q140" s="6">
        <v>89</v>
      </c>
      <c r="R140" s="6">
        <v>89</v>
      </c>
      <c r="S140" s="6">
        <v>214812</v>
      </c>
      <c r="T140" s="6">
        <v>34.630352000000002</v>
      </c>
      <c r="U140" s="6">
        <v>8</v>
      </c>
      <c r="X140" s="6">
        <v>4.4222764999999997</v>
      </c>
      <c r="Y140" s="6">
        <v>90.693989999999999</v>
      </c>
      <c r="Z140" s="6">
        <v>48.724598</v>
      </c>
      <c r="AA140" s="6">
        <v>206</v>
      </c>
      <c r="AB140" s="6">
        <v>1</v>
      </c>
      <c r="AC140" s="6">
        <v>0.84761905999999998</v>
      </c>
      <c r="AD140" s="6" t="b">
        <v>1</v>
      </c>
      <c r="AE140" s="6" t="b">
        <v>0</v>
      </c>
      <c r="AF140" s="6" t="b">
        <v>0</v>
      </c>
      <c r="AH140" s="6">
        <v>257</v>
      </c>
      <c r="AL140" s="6">
        <v>8</v>
      </c>
      <c r="AM140" s="6">
        <v>17</v>
      </c>
      <c r="AO140" s="6">
        <v>52</v>
      </c>
      <c r="AP140" s="6">
        <v>155</v>
      </c>
      <c r="AQ140" s="6">
        <v>124</v>
      </c>
      <c r="AR140" s="6">
        <v>138</v>
      </c>
      <c r="AS140" s="6">
        <v>144</v>
      </c>
      <c r="AT140" s="6">
        <v>154</v>
      </c>
      <c r="AU140" s="6">
        <v>158</v>
      </c>
      <c r="AV140" s="6">
        <v>163</v>
      </c>
      <c r="AW140" s="6">
        <v>190</v>
      </c>
      <c r="AX140" s="6">
        <v>2399</v>
      </c>
      <c r="AY140" s="6">
        <v>4</v>
      </c>
      <c r="AZ140" s="6">
        <v>0</v>
      </c>
      <c r="BA140" s="6">
        <v>0</v>
      </c>
      <c r="BB140" s="6">
        <v>0</v>
      </c>
      <c r="BC140" s="6">
        <v>0</v>
      </c>
      <c r="BD140" s="6">
        <v>0</v>
      </c>
      <c r="BE140" s="6">
        <v>2401</v>
      </c>
      <c r="BF140" s="6">
        <v>2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v>90</v>
      </c>
      <c r="BN140" s="6" t="b">
        <v>0</v>
      </c>
      <c r="BO140" s="6" t="b">
        <v>0</v>
      </c>
      <c r="BP140" s="6" t="b">
        <v>0</v>
      </c>
      <c r="BQ140" s="6">
        <v>2405</v>
      </c>
      <c r="BR140" s="6">
        <v>0</v>
      </c>
      <c r="BS140" s="6">
        <v>0</v>
      </c>
      <c r="BW140" s="6">
        <v>87</v>
      </c>
      <c r="BX140" s="6">
        <v>86</v>
      </c>
      <c r="BY140" s="6">
        <v>6574</v>
      </c>
      <c r="BZ140" s="6">
        <v>181</v>
      </c>
      <c r="CA140" s="6" t="s">
        <v>650</v>
      </c>
      <c r="CB140" s="6" t="s">
        <v>651</v>
      </c>
      <c r="CD140" s="6" t="s">
        <v>196</v>
      </c>
      <c r="CE140" s="25">
        <v>1.89395E+18</v>
      </c>
    </row>
    <row r="141" spans="1:83" x14ac:dyDescent="0.2">
      <c r="A141" s="6" t="s">
        <v>652</v>
      </c>
      <c r="B141" s="24">
        <v>45819.226238425923</v>
      </c>
      <c r="C141" s="6" t="s">
        <v>653</v>
      </c>
      <c r="D141" s="6" t="s">
        <v>220</v>
      </c>
      <c r="E141" s="6">
        <v>15755</v>
      </c>
      <c r="F141" s="6">
        <v>99195.81</v>
      </c>
      <c r="G141" s="6">
        <v>15964</v>
      </c>
      <c r="H141" s="6">
        <v>1196</v>
      </c>
      <c r="I141" s="6">
        <v>18.577000000000002</v>
      </c>
      <c r="J141" s="6">
        <v>6.2930000000000001</v>
      </c>
      <c r="K141" s="6" t="b">
        <v>1</v>
      </c>
      <c r="L141" s="6">
        <v>150</v>
      </c>
      <c r="M141" s="6">
        <v>123</v>
      </c>
      <c r="N141" s="6"/>
      <c r="O141" s="6">
        <v>2312</v>
      </c>
      <c r="P141" s="6"/>
      <c r="Q141" s="6"/>
      <c r="R141" s="6"/>
      <c r="S141" s="6"/>
      <c r="T141" s="6">
        <v>69.664659999999998</v>
      </c>
      <c r="U141" s="6">
        <v>213</v>
      </c>
      <c r="X141" s="6">
        <v>6.2961479999999996</v>
      </c>
      <c r="Y141" s="6">
        <v>90.693989999999999</v>
      </c>
      <c r="Z141" s="6">
        <v>48.724598</v>
      </c>
      <c r="AA141" s="6">
        <v>206</v>
      </c>
      <c r="AB141" s="6"/>
      <c r="AC141" s="6"/>
      <c r="AD141" s="6"/>
      <c r="AE141" s="6" t="b">
        <v>0</v>
      </c>
      <c r="AF141" s="6" t="b">
        <v>0</v>
      </c>
      <c r="AH141" s="6">
        <v>257</v>
      </c>
      <c r="AL141" s="6"/>
      <c r="AM141" s="6">
        <v>213</v>
      </c>
      <c r="AO141" s="6">
        <v>52</v>
      </c>
      <c r="AP141" s="6">
        <v>155</v>
      </c>
      <c r="AQ141" s="6">
        <v>124</v>
      </c>
      <c r="AR141" s="6">
        <v>138</v>
      </c>
      <c r="AS141" s="6">
        <v>144</v>
      </c>
      <c r="AT141" s="6">
        <v>154</v>
      </c>
      <c r="AU141" s="6">
        <v>158</v>
      </c>
      <c r="AV141" s="6">
        <v>163</v>
      </c>
      <c r="AW141" s="6">
        <v>190</v>
      </c>
      <c r="AX141" s="6">
        <v>4861</v>
      </c>
      <c r="AY141" s="6">
        <v>10466</v>
      </c>
      <c r="AZ141" s="6">
        <v>333</v>
      </c>
      <c r="BA141" s="6">
        <v>106</v>
      </c>
      <c r="BB141" s="6">
        <v>0</v>
      </c>
      <c r="BC141" s="6">
        <v>0</v>
      </c>
      <c r="BD141" s="6">
        <v>0</v>
      </c>
      <c r="BE141" s="6"/>
      <c r="BF141" s="6"/>
      <c r="BG141" s="6"/>
      <c r="BH141" s="6"/>
      <c r="BI141" s="6"/>
      <c r="BJ141" s="6"/>
      <c r="BK141" s="6"/>
      <c r="BL141" s="6"/>
      <c r="BM141" s="6">
        <v>90</v>
      </c>
      <c r="BN141" s="6" t="b">
        <v>0</v>
      </c>
      <c r="BO141" s="6" t="b">
        <v>0</v>
      </c>
      <c r="BP141" s="6" t="b">
        <v>0</v>
      </c>
      <c r="BQ141" s="6">
        <v>15800</v>
      </c>
      <c r="BR141" s="6">
        <v>1200</v>
      </c>
      <c r="BS141" s="6">
        <v>600</v>
      </c>
      <c r="BW141" s="6"/>
      <c r="BX141" s="6"/>
      <c r="BY141" s="6"/>
      <c r="BZ141" s="6"/>
      <c r="CA141" s="6" t="s">
        <v>654</v>
      </c>
      <c r="CB141" s="6" t="s">
        <v>651</v>
      </c>
      <c r="CD141" s="6" t="s">
        <v>196</v>
      </c>
      <c r="CE141" s="25">
        <v>19401470412</v>
      </c>
    </row>
    <row r="142" spans="1:83" x14ac:dyDescent="0.2">
      <c r="A142" s="6" t="s">
        <v>655</v>
      </c>
      <c r="B142" s="24">
        <v>45818.76222222222</v>
      </c>
      <c r="C142" s="6" t="s">
        <v>424</v>
      </c>
      <c r="D142" s="6" t="s">
        <v>208</v>
      </c>
      <c r="E142" s="6">
        <v>2402</v>
      </c>
      <c r="F142" s="6">
        <v>11167.83</v>
      </c>
      <c r="G142" s="6">
        <v>2405</v>
      </c>
      <c r="H142" s="6">
        <v>152</v>
      </c>
      <c r="I142" s="6">
        <v>15.478999999999999</v>
      </c>
      <c r="J142" s="6">
        <v>4.641</v>
      </c>
      <c r="K142" s="6" t="b">
        <v>1</v>
      </c>
      <c r="L142" s="6">
        <v>120</v>
      </c>
      <c r="M142" s="6">
        <v>100</v>
      </c>
      <c r="N142" s="6">
        <v>77.253429999999994</v>
      </c>
      <c r="O142" s="6">
        <v>205</v>
      </c>
      <c r="P142" s="6" t="b">
        <v>1</v>
      </c>
      <c r="Q142" s="6">
        <v>89</v>
      </c>
      <c r="R142" s="6">
        <v>89</v>
      </c>
      <c r="S142" s="6">
        <v>214942</v>
      </c>
      <c r="T142" s="6">
        <v>34.630352000000002</v>
      </c>
      <c r="U142" s="6">
        <v>8</v>
      </c>
      <c r="X142" s="6">
        <v>4.6493880000000001</v>
      </c>
      <c r="Y142" s="6">
        <v>70.683555999999996</v>
      </c>
      <c r="Z142" s="6">
        <v>44.57358</v>
      </c>
      <c r="AA142" s="6">
        <v>206</v>
      </c>
      <c r="AB142" s="6">
        <v>1</v>
      </c>
      <c r="AC142" s="6">
        <v>0.89</v>
      </c>
      <c r="AD142" s="6" t="b">
        <v>1</v>
      </c>
      <c r="AE142" s="6" t="b">
        <v>0</v>
      </c>
      <c r="AF142" s="6" t="b">
        <v>0</v>
      </c>
      <c r="AH142" s="6">
        <v>257</v>
      </c>
      <c r="AL142" s="6">
        <v>8</v>
      </c>
      <c r="AM142" s="6">
        <v>15</v>
      </c>
      <c r="AO142" s="6">
        <v>52</v>
      </c>
      <c r="AP142" s="6">
        <v>155</v>
      </c>
      <c r="AQ142" s="6">
        <v>124</v>
      </c>
      <c r="AR142" s="6">
        <v>138</v>
      </c>
      <c r="AS142" s="6">
        <v>144</v>
      </c>
      <c r="AT142" s="6">
        <v>154</v>
      </c>
      <c r="AU142" s="6">
        <v>158</v>
      </c>
      <c r="AV142" s="6">
        <v>163</v>
      </c>
      <c r="AW142" s="6">
        <v>190</v>
      </c>
      <c r="AX142" s="6">
        <v>2402</v>
      </c>
      <c r="AY142" s="6">
        <v>0</v>
      </c>
      <c r="AZ142" s="6">
        <v>0</v>
      </c>
      <c r="BA142" s="6">
        <v>0</v>
      </c>
      <c r="BB142" s="6">
        <v>0</v>
      </c>
      <c r="BC142" s="6">
        <v>0</v>
      </c>
      <c r="BD142" s="6">
        <v>0</v>
      </c>
      <c r="BE142" s="6">
        <v>2399</v>
      </c>
      <c r="BF142" s="6">
        <v>3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90</v>
      </c>
      <c r="BN142" s="6" t="b">
        <v>0</v>
      </c>
      <c r="BO142" s="6" t="b">
        <v>0</v>
      </c>
      <c r="BP142" s="6" t="b">
        <v>0</v>
      </c>
      <c r="BQ142" s="6">
        <v>2404</v>
      </c>
      <c r="BR142" s="6">
        <v>0</v>
      </c>
      <c r="BS142" s="6">
        <v>0</v>
      </c>
      <c r="BT142" s="6"/>
      <c r="BU142" s="6"/>
      <c r="BW142" s="6">
        <v>87</v>
      </c>
      <c r="BX142" s="6">
        <v>86</v>
      </c>
      <c r="BY142" s="6">
        <v>6574</v>
      </c>
      <c r="BZ142" s="6">
        <v>155</v>
      </c>
      <c r="CA142" s="6" t="s">
        <v>656</v>
      </c>
      <c r="CB142" s="6" t="s">
        <v>651</v>
      </c>
      <c r="CD142" s="6" t="s">
        <v>196</v>
      </c>
      <c r="CE142" s="25">
        <v>1.89325E+18</v>
      </c>
    </row>
    <row r="143" spans="1:83" x14ac:dyDescent="0.2">
      <c r="A143" s="6" t="s">
        <v>657</v>
      </c>
      <c r="B143" s="24">
        <v>45818.238356481481</v>
      </c>
      <c r="C143" s="6" t="s">
        <v>658</v>
      </c>
      <c r="D143" s="6" t="s">
        <v>193</v>
      </c>
      <c r="E143" s="6">
        <v>6195</v>
      </c>
      <c r="F143" s="6">
        <v>28349.38</v>
      </c>
      <c r="G143" s="6">
        <v>6329</v>
      </c>
      <c r="H143" s="6">
        <v>279</v>
      </c>
      <c r="I143" s="6">
        <v>11.15</v>
      </c>
      <c r="J143" s="6">
        <v>4.5730000000000004</v>
      </c>
      <c r="K143" s="6" t="b">
        <v>1</v>
      </c>
      <c r="L143" s="6">
        <v>146</v>
      </c>
      <c r="M143" s="6">
        <v>118</v>
      </c>
      <c r="O143" s="6">
        <v>853</v>
      </c>
      <c r="T143" s="6">
        <v>61.444378</v>
      </c>
      <c r="U143" s="6">
        <v>65</v>
      </c>
      <c r="X143" s="6">
        <v>4.5761713999999998</v>
      </c>
      <c r="Y143" s="6">
        <v>70.683555999999996</v>
      </c>
      <c r="Z143" s="6">
        <v>44.57358</v>
      </c>
      <c r="AA143" s="6">
        <v>206</v>
      </c>
      <c r="AE143" s="6" t="b">
        <v>0</v>
      </c>
      <c r="AF143" s="6" t="b">
        <v>0</v>
      </c>
      <c r="AH143" s="6">
        <v>257</v>
      </c>
      <c r="AM143" s="6">
        <v>65</v>
      </c>
      <c r="AO143" s="6">
        <v>52</v>
      </c>
      <c r="AP143" s="6">
        <v>155</v>
      </c>
      <c r="AQ143" s="6">
        <v>124</v>
      </c>
      <c r="AR143" s="6">
        <v>138</v>
      </c>
      <c r="AS143" s="6">
        <v>144</v>
      </c>
      <c r="AT143" s="6">
        <v>154</v>
      </c>
      <c r="AU143" s="6">
        <v>158</v>
      </c>
      <c r="AV143" s="6">
        <v>163</v>
      </c>
      <c r="AW143" s="6">
        <v>190</v>
      </c>
      <c r="AX143" s="6">
        <v>4530</v>
      </c>
      <c r="AY143" s="6">
        <v>1401</v>
      </c>
      <c r="AZ143" s="6">
        <v>229</v>
      </c>
      <c r="BA143" s="6">
        <v>40</v>
      </c>
      <c r="BB143" s="6">
        <v>0</v>
      </c>
      <c r="BC143" s="6">
        <v>0</v>
      </c>
      <c r="BD143" s="6">
        <v>0</v>
      </c>
      <c r="BM143" s="6">
        <v>90</v>
      </c>
      <c r="BN143" s="6" t="b">
        <v>0</v>
      </c>
      <c r="BO143" s="6" t="b">
        <v>0</v>
      </c>
      <c r="BP143" s="6" t="b">
        <v>0</v>
      </c>
      <c r="BQ143" s="6">
        <v>6198</v>
      </c>
      <c r="BR143" s="6">
        <v>1200</v>
      </c>
      <c r="BS143" s="6">
        <v>600</v>
      </c>
      <c r="BT143" s="6"/>
      <c r="BU143" s="6"/>
      <c r="CA143" s="6" t="s">
        <v>659</v>
      </c>
      <c r="CB143" s="6" t="s">
        <v>660</v>
      </c>
      <c r="CD143" s="6" t="s">
        <v>196</v>
      </c>
      <c r="CE143" s="6">
        <v>19389594588</v>
      </c>
    </row>
    <row r="144" spans="1:83" x14ac:dyDescent="0.2">
      <c r="A144" s="6" t="s">
        <v>661</v>
      </c>
      <c r="B144" s="24">
        <v>45816.304872685185</v>
      </c>
      <c r="C144" s="6" t="s">
        <v>662</v>
      </c>
      <c r="D144" s="6" t="s">
        <v>220</v>
      </c>
      <c r="E144" s="6">
        <v>15909</v>
      </c>
      <c r="F144" s="6">
        <v>103754.64</v>
      </c>
      <c r="G144" s="6">
        <v>17197</v>
      </c>
      <c r="H144" s="6">
        <v>1316</v>
      </c>
      <c r="I144" s="6">
        <v>19.175000000000001</v>
      </c>
      <c r="J144" s="6">
        <v>6.508</v>
      </c>
      <c r="K144" s="6" t="b">
        <v>1</v>
      </c>
      <c r="L144" s="6">
        <v>163</v>
      </c>
      <c r="M144" s="6">
        <v>139</v>
      </c>
      <c r="O144" s="6">
        <v>3163</v>
      </c>
      <c r="T144" s="6">
        <v>87.423029999999997</v>
      </c>
      <c r="U144" s="6">
        <v>339</v>
      </c>
      <c r="X144" s="6">
        <v>6.5217575999999999</v>
      </c>
      <c r="Y144" s="6">
        <v>81.12773</v>
      </c>
      <c r="Z144" s="6">
        <v>44.946148000000001</v>
      </c>
      <c r="AA144" s="6">
        <v>206</v>
      </c>
      <c r="AE144" s="6" t="b">
        <v>0</v>
      </c>
      <c r="AF144" s="6" t="b">
        <v>0</v>
      </c>
      <c r="AH144" s="6">
        <v>257</v>
      </c>
      <c r="AM144" s="6">
        <v>339</v>
      </c>
      <c r="AO144" s="6">
        <v>52</v>
      </c>
      <c r="AP144" s="6">
        <v>155</v>
      </c>
      <c r="AQ144" s="6">
        <v>124</v>
      </c>
      <c r="AR144" s="6">
        <v>138</v>
      </c>
      <c r="AS144" s="6">
        <v>144</v>
      </c>
      <c r="AT144" s="6">
        <v>154</v>
      </c>
      <c r="AU144" s="6">
        <v>158</v>
      </c>
      <c r="AV144" s="6">
        <v>163</v>
      </c>
      <c r="AW144" s="6">
        <v>190</v>
      </c>
      <c r="AX144" s="6">
        <v>2890</v>
      </c>
      <c r="AY144" s="6">
        <v>2440</v>
      </c>
      <c r="AZ144" s="6">
        <v>1597</v>
      </c>
      <c r="BA144" s="6">
        <v>4670</v>
      </c>
      <c r="BB144" s="6">
        <v>2684</v>
      </c>
      <c r="BC144" s="6">
        <v>1663</v>
      </c>
      <c r="BD144" s="6">
        <v>0</v>
      </c>
      <c r="BM144" s="6">
        <v>90</v>
      </c>
      <c r="BN144" s="6" t="b">
        <v>0</v>
      </c>
      <c r="BO144" s="6" t="b">
        <v>0</v>
      </c>
      <c r="BP144" s="6" t="b">
        <v>0</v>
      </c>
      <c r="BQ144" s="6">
        <v>15968</v>
      </c>
      <c r="BR144" s="6">
        <v>1200</v>
      </c>
      <c r="BS144" s="6">
        <v>600</v>
      </c>
      <c r="BT144" s="6">
        <v>34</v>
      </c>
      <c r="BU144" s="6">
        <v>156</v>
      </c>
      <c r="CA144" s="6" t="s">
        <v>663</v>
      </c>
      <c r="CB144" s="6" t="s">
        <v>660</v>
      </c>
      <c r="CD144" s="6" t="s">
        <v>196</v>
      </c>
      <c r="CE144" s="6">
        <v>19373517509</v>
      </c>
    </row>
    <row r="145" spans="1:83" x14ac:dyDescent="0.2">
      <c r="A145" s="6" t="s">
        <v>664</v>
      </c>
      <c r="B145" s="24">
        <v>45814.243958333333</v>
      </c>
      <c r="C145" s="6" t="s">
        <v>576</v>
      </c>
      <c r="D145" s="6" t="s">
        <v>193</v>
      </c>
      <c r="E145" s="6">
        <v>6053</v>
      </c>
      <c r="F145" s="6">
        <v>25009.37</v>
      </c>
      <c r="G145" s="6">
        <v>6334</v>
      </c>
      <c r="H145" s="6">
        <v>275</v>
      </c>
      <c r="I145" s="6">
        <v>10.561999999999999</v>
      </c>
      <c r="J145" s="6">
        <v>4.1280000000000001</v>
      </c>
      <c r="K145" s="6" t="b">
        <v>1</v>
      </c>
      <c r="L145" s="6">
        <v>149</v>
      </c>
      <c r="M145" s="6">
        <v>108</v>
      </c>
      <c r="N145" s="6"/>
      <c r="O145" s="6">
        <v>703</v>
      </c>
      <c r="P145" s="6"/>
      <c r="Q145" s="6"/>
      <c r="R145" s="6"/>
      <c r="S145" s="6"/>
      <c r="T145" s="6">
        <v>52.249119999999998</v>
      </c>
      <c r="U145" s="6">
        <v>46</v>
      </c>
      <c r="X145" s="6">
        <v>4.1317310000000003</v>
      </c>
      <c r="Y145" s="6">
        <v>47.904761999999998</v>
      </c>
      <c r="Z145" s="6">
        <v>38.773116999999999</v>
      </c>
      <c r="AA145" s="6">
        <v>206</v>
      </c>
      <c r="AB145" s="6"/>
      <c r="AC145" s="6"/>
      <c r="AD145" s="6"/>
      <c r="AE145" s="6" t="b">
        <v>0</v>
      </c>
      <c r="AF145" s="6" t="b">
        <v>0</v>
      </c>
      <c r="AH145" s="6">
        <v>257</v>
      </c>
      <c r="AL145" s="6"/>
      <c r="AM145" s="6">
        <v>46</v>
      </c>
      <c r="AO145" s="6">
        <v>52</v>
      </c>
      <c r="AP145" s="6">
        <v>155</v>
      </c>
      <c r="AQ145" s="6">
        <v>124</v>
      </c>
      <c r="AR145" s="6">
        <v>138</v>
      </c>
      <c r="AS145" s="6">
        <v>144</v>
      </c>
      <c r="AT145" s="6">
        <v>154</v>
      </c>
      <c r="AU145" s="6">
        <v>158</v>
      </c>
      <c r="AV145" s="6">
        <v>163</v>
      </c>
      <c r="AW145" s="6">
        <v>190</v>
      </c>
      <c r="AX145" s="6">
        <v>5430</v>
      </c>
      <c r="AY145" s="6">
        <v>461</v>
      </c>
      <c r="AZ145" s="6">
        <v>86</v>
      </c>
      <c r="BA145" s="6">
        <v>80</v>
      </c>
      <c r="BB145" s="6">
        <v>0</v>
      </c>
      <c r="BC145" s="6">
        <v>0</v>
      </c>
      <c r="BD145" s="6">
        <v>0</v>
      </c>
      <c r="BE145" s="6"/>
      <c r="BF145" s="6"/>
      <c r="BG145" s="6"/>
      <c r="BH145" s="6"/>
      <c r="BI145" s="6"/>
      <c r="BJ145" s="6"/>
      <c r="BK145" s="6"/>
      <c r="BL145" s="6"/>
      <c r="BM145" s="6">
        <v>90</v>
      </c>
      <c r="BN145" s="6" t="b">
        <v>0</v>
      </c>
      <c r="BO145" s="6" t="b">
        <v>0</v>
      </c>
      <c r="BP145" s="6" t="b">
        <v>0</v>
      </c>
      <c r="BQ145" s="6">
        <v>6066</v>
      </c>
      <c r="BR145" s="6">
        <v>1200</v>
      </c>
      <c r="BS145" s="6">
        <v>600</v>
      </c>
      <c r="BW145" s="6"/>
      <c r="BX145" s="6"/>
      <c r="BY145" s="6"/>
      <c r="BZ145" s="6"/>
      <c r="CA145" s="6" t="s">
        <v>665</v>
      </c>
      <c r="CB145" s="6" t="s">
        <v>660</v>
      </c>
      <c r="CD145" s="6" t="s">
        <v>196</v>
      </c>
      <c r="CE145" s="6">
        <v>19350228396</v>
      </c>
    </row>
    <row r="146" spans="1:83" x14ac:dyDescent="0.2">
      <c r="A146" s="6" t="s">
        <v>666</v>
      </c>
      <c r="B146" s="24">
        <v>45813.248101851852</v>
      </c>
      <c r="C146" s="6" t="s">
        <v>397</v>
      </c>
      <c r="D146" s="6" t="s">
        <v>220</v>
      </c>
      <c r="E146" s="6">
        <v>8107</v>
      </c>
      <c r="F146" s="6">
        <v>51642.879999999997</v>
      </c>
      <c r="G146" s="6">
        <v>8590</v>
      </c>
      <c r="H146" s="6">
        <v>562</v>
      </c>
      <c r="I146" s="6">
        <v>18.689</v>
      </c>
      <c r="J146" s="6">
        <v>6.3570000000000002</v>
      </c>
      <c r="K146" s="6" t="b">
        <v>1</v>
      </c>
      <c r="L146" s="6">
        <v>139</v>
      </c>
      <c r="M146" s="6">
        <v>117</v>
      </c>
      <c r="N146" s="6"/>
      <c r="O146" s="6">
        <v>1206</v>
      </c>
      <c r="P146" s="6"/>
      <c r="Q146" s="6"/>
      <c r="R146" s="6"/>
      <c r="S146" s="6"/>
      <c r="T146" s="6">
        <v>63.435603999999998</v>
      </c>
      <c r="U146" s="6">
        <v>91</v>
      </c>
      <c r="X146" s="6">
        <v>6.3701590000000001</v>
      </c>
      <c r="Y146" s="6">
        <v>48.197265999999999</v>
      </c>
      <c r="Z146" s="6">
        <v>38.598984000000002</v>
      </c>
      <c r="AA146" s="6">
        <v>206</v>
      </c>
      <c r="AB146" s="6"/>
      <c r="AC146" s="6"/>
      <c r="AD146" s="6"/>
      <c r="AE146" s="6" t="b">
        <v>0</v>
      </c>
      <c r="AF146" s="6" t="b">
        <v>0</v>
      </c>
      <c r="AH146" s="6">
        <v>257</v>
      </c>
      <c r="AL146" s="6"/>
      <c r="AM146" s="6">
        <v>91</v>
      </c>
      <c r="AO146" s="6">
        <v>52</v>
      </c>
      <c r="AP146" s="6">
        <v>155</v>
      </c>
      <c r="AQ146" s="6">
        <v>124</v>
      </c>
      <c r="AR146" s="6">
        <v>138</v>
      </c>
      <c r="AS146" s="6">
        <v>144</v>
      </c>
      <c r="AT146" s="6">
        <v>154</v>
      </c>
      <c r="AU146" s="6">
        <v>158</v>
      </c>
      <c r="AV146" s="6">
        <v>163</v>
      </c>
      <c r="AW146" s="6">
        <v>190</v>
      </c>
      <c r="AX146" s="6">
        <v>5814</v>
      </c>
      <c r="AY146" s="6">
        <v>2289</v>
      </c>
      <c r="AZ146" s="6">
        <v>21</v>
      </c>
      <c r="BA146" s="6">
        <v>0</v>
      </c>
      <c r="BB146" s="6">
        <v>0</v>
      </c>
      <c r="BC146" s="6">
        <v>0</v>
      </c>
      <c r="BD146" s="6">
        <v>0</v>
      </c>
      <c r="BE146" s="6"/>
      <c r="BF146" s="6"/>
      <c r="BG146" s="6"/>
      <c r="BH146" s="6"/>
      <c r="BI146" s="6"/>
      <c r="BJ146" s="6"/>
      <c r="BK146" s="6"/>
      <c r="BL146" s="6"/>
      <c r="BM146" s="6">
        <v>90</v>
      </c>
      <c r="BN146" s="6" t="b">
        <v>0</v>
      </c>
      <c r="BO146" s="6" t="b">
        <v>0</v>
      </c>
      <c r="BP146" s="6" t="b">
        <v>0</v>
      </c>
      <c r="BQ146" s="6">
        <v>8141</v>
      </c>
      <c r="BR146" s="6">
        <v>1200</v>
      </c>
      <c r="BS146" s="6">
        <v>600</v>
      </c>
      <c r="BT146" s="6"/>
      <c r="BU146" s="6"/>
      <c r="BW146" s="6"/>
      <c r="BX146" s="6"/>
      <c r="BY146" s="6"/>
      <c r="BZ146" s="6"/>
      <c r="CA146" s="6" t="s">
        <v>667</v>
      </c>
      <c r="CB146" s="6" t="s">
        <v>660</v>
      </c>
      <c r="CD146" s="6" t="s">
        <v>196</v>
      </c>
      <c r="CE146" s="25">
        <v>19340982469</v>
      </c>
    </row>
    <row r="147" spans="1:83" x14ac:dyDescent="0.2">
      <c r="A147" s="6" t="s">
        <v>668</v>
      </c>
      <c r="B147" s="24">
        <v>45811.742175925923</v>
      </c>
      <c r="C147" s="6" t="s">
        <v>669</v>
      </c>
      <c r="D147" s="6" t="s">
        <v>208</v>
      </c>
      <c r="E147" s="6">
        <v>3607</v>
      </c>
      <c r="F147" s="6">
        <v>20001.87</v>
      </c>
      <c r="G147" s="6">
        <v>3609</v>
      </c>
      <c r="H147" s="6">
        <v>356</v>
      </c>
      <c r="I147" s="6">
        <v>22.798999999999999</v>
      </c>
      <c r="J147" s="6">
        <v>5.54</v>
      </c>
      <c r="K147" s="6" t="b">
        <v>1</v>
      </c>
      <c r="L147" s="6">
        <v>141</v>
      </c>
      <c r="M147" s="6">
        <v>128</v>
      </c>
      <c r="N147" s="6">
        <v>77.969719999999995</v>
      </c>
      <c r="O147" s="6">
        <v>449</v>
      </c>
      <c r="P147" s="6" t="b">
        <v>1</v>
      </c>
      <c r="Q147" s="6">
        <v>130</v>
      </c>
      <c r="R147" s="6">
        <v>136</v>
      </c>
      <c r="S147" s="6">
        <v>470644</v>
      </c>
      <c r="T147" s="6">
        <v>52.918289999999999</v>
      </c>
      <c r="U147" s="6">
        <v>28</v>
      </c>
      <c r="X147" s="6">
        <v>5.5452924000000001</v>
      </c>
      <c r="Y147" s="6">
        <v>48.016292999999997</v>
      </c>
      <c r="Z147" s="6">
        <v>38.235996</v>
      </c>
      <c r="AA147" s="6">
        <v>206</v>
      </c>
      <c r="AB147" s="6">
        <v>1.0461539</v>
      </c>
      <c r="AC147" s="6">
        <v>1.0625</v>
      </c>
      <c r="AD147" s="6" t="b">
        <v>1</v>
      </c>
      <c r="AE147" s="6" t="b">
        <v>0</v>
      </c>
      <c r="AF147" s="6" t="b">
        <v>0</v>
      </c>
      <c r="AH147" s="6">
        <v>257</v>
      </c>
      <c r="AL147" s="6">
        <v>28</v>
      </c>
      <c r="AM147" s="6">
        <v>52</v>
      </c>
      <c r="AO147" s="6">
        <v>52</v>
      </c>
      <c r="AP147" s="6">
        <v>155</v>
      </c>
      <c r="AQ147" s="6">
        <v>124</v>
      </c>
      <c r="AR147" s="6">
        <v>138</v>
      </c>
      <c r="AS147" s="6">
        <v>144</v>
      </c>
      <c r="AT147" s="6">
        <v>154</v>
      </c>
      <c r="AU147" s="6">
        <v>158</v>
      </c>
      <c r="AV147" s="6">
        <v>163</v>
      </c>
      <c r="AW147" s="6">
        <v>190</v>
      </c>
      <c r="AX147" s="6">
        <v>646</v>
      </c>
      <c r="AY147" s="6">
        <v>2834</v>
      </c>
      <c r="AZ147" s="6">
        <v>127</v>
      </c>
      <c r="BA147" s="6">
        <v>0</v>
      </c>
      <c r="BB147" s="6">
        <v>0</v>
      </c>
      <c r="BC147" s="6">
        <v>0</v>
      </c>
      <c r="BD147" s="6">
        <v>0</v>
      </c>
      <c r="BE147" s="6">
        <v>2330</v>
      </c>
      <c r="BF147" s="6">
        <v>1275</v>
      </c>
      <c r="BG147" s="6">
        <v>2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v>90</v>
      </c>
      <c r="BN147" s="6" t="b">
        <v>0</v>
      </c>
      <c r="BO147" s="6" t="b">
        <v>0</v>
      </c>
      <c r="BP147" s="6" t="b">
        <v>0</v>
      </c>
      <c r="BQ147" s="6">
        <v>3608</v>
      </c>
      <c r="BR147" s="6">
        <v>1200</v>
      </c>
      <c r="BS147" s="6">
        <v>600</v>
      </c>
      <c r="BT147" s="6"/>
      <c r="BU147" s="6"/>
      <c r="BW147" s="6">
        <v>149</v>
      </c>
      <c r="BX147" s="6">
        <v>146</v>
      </c>
      <c r="BY147" s="6">
        <v>11095</v>
      </c>
      <c r="BZ147" s="6">
        <v>249</v>
      </c>
      <c r="CA147" s="6" t="s">
        <v>670</v>
      </c>
      <c r="CB147" s="6" t="s">
        <v>671</v>
      </c>
      <c r="CD147" s="6" t="s">
        <v>196</v>
      </c>
      <c r="CE147" s="25">
        <v>1.88819E+18</v>
      </c>
    </row>
    <row r="148" spans="1:83" x14ac:dyDescent="0.2">
      <c r="A148" s="6" t="s">
        <v>672</v>
      </c>
      <c r="B148" s="24">
        <v>45811.261574074073</v>
      </c>
      <c r="C148" s="6" t="s">
        <v>673</v>
      </c>
      <c r="D148" s="6" t="s">
        <v>208</v>
      </c>
      <c r="E148" s="6">
        <v>7215</v>
      </c>
      <c r="F148" s="6">
        <v>53179.9</v>
      </c>
      <c r="G148" s="6">
        <v>7268</v>
      </c>
      <c r="H148" s="6">
        <v>415</v>
      </c>
      <c r="I148" s="6">
        <v>16.335000000000001</v>
      </c>
      <c r="J148" s="6">
        <v>7.3650000000000002</v>
      </c>
      <c r="K148" s="6" t="b">
        <v>1</v>
      </c>
      <c r="L148" s="6">
        <v>158</v>
      </c>
      <c r="M148" s="6">
        <v>131</v>
      </c>
      <c r="N148" s="6">
        <v>76.054929999999999</v>
      </c>
      <c r="O148" s="6">
        <v>928</v>
      </c>
      <c r="P148" s="6" t="b">
        <v>1</v>
      </c>
      <c r="Q148" s="6">
        <v>135</v>
      </c>
      <c r="R148" s="6">
        <v>163</v>
      </c>
      <c r="S148" s="6">
        <v>972293</v>
      </c>
      <c r="T148" s="6">
        <v>63.424126000000001</v>
      </c>
      <c r="U148" s="6">
        <v>81</v>
      </c>
      <c r="X148" s="6">
        <v>7.3707414</v>
      </c>
      <c r="Y148" s="6">
        <v>48.016292999999997</v>
      </c>
      <c r="Z148" s="6">
        <v>38.235996</v>
      </c>
      <c r="AA148" s="6">
        <v>206</v>
      </c>
      <c r="AB148" s="6">
        <v>1.2074073999999999</v>
      </c>
      <c r="AC148" s="6">
        <v>1.2442749</v>
      </c>
      <c r="AD148" s="6" t="b">
        <v>1</v>
      </c>
      <c r="AE148" s="6" t="b">
        <v>0</v>
      </c>
      <c r="AF148" s="6" t="b">
        <v>0</v>
      </c>
      <c r="AH148" s="6">
        <v>257</v>
      </c>
      <c r="AL148" s="6">
        <v>81</v>
      </c>
      <c r="AM148" s="6">
        <v>116</v>
      </c>
      <c r="AO148" s="6">
        <v>52</v>
      </c>
      <c r="AP148" s="6">
        <v>155</v>
      </c>
      <c r="AQ148" s="6">
        <v>124</v>
      </c>
      <c r="AR148" s="6">
        <v>138</v>
      </c>
      <c r="AS148" s="6">
        <v>144</v>
      </c>
      <c r="AT148" s="6">
        <v>154</v>
      </c>
      <c r="AU148" s="6">
        <v>158</v>
      </c>
      <c r="AV148" s="6">
        <v>163</v>
      </c>
      <c r="AW148" s="6">
        <v>190</v>
      </c>
      <c r="AX148" s="6">
        <v>2386</v>
      </c>
      <c r="AY148" s="6">
        <v>2064</v>
      </c>
      <c r="AZ148" s="6">
        <v>1411</v>
      </c>
      <c r="BA148" s="6">
        <v>1220</v>
      </c>
      <c r="BB148" s="6">
        <v>134</v>
      </c>
      <c r="BC148" s="6">
        <v>0</v>
      </c>
      <c r="BD148" s="6">
        <v>0</v>
      </c>
      <c r="BE148" s="6">
        <v>5881</v>
      </c>
      <c r="BF148" s="6">
        <v>144</v>
      </c>
      <c r="BG148" s="6">
        <v>65</v>
      </c>
      <c r="BH148" s="6">
        <v>1125</v>
      </c>
      <c r="BI148" s="6">
        <v>0</v>
      </c>
      <c r="BJ148" s="6">
        <v>0</v>
      </c>
      <c r="BK148" s="6">
        <v>0</v>
      </c>
      <c r="BL148" s="6">
        <v>1150</v>
      </c>
      <c r="BM148" s="6">
        <v>90</v>
      </c>
      <c r="BN148" s="6" t="b">
        <v>0</v>
      </c>
      <c r="BO148" s="6" t="b">
        <v>0</v>
      </c>
      <c r="BP148" s="6" t="b">
        <v>0</v>
      </c>
      <c r="BQ148" s="6">
        <v>7217</v>
      </c>
      <c r="BR148" s="6">
        <v>1200</v>
      </c>
      <c r="BS148" s="6">
        <v>600</v>
      </c>
      <c r="BT148" s="6">
        <v>19</v>
      </c>
      <c r="BU148" s="6">
        <v>155</v>
      </c>
      <c r="BW148" s="6">
        <v>158</v>
      </c>
      <c r="BX148" s="6">
        <v>155</v>
      </c>
      <c r="BY148" s="6">
        <v>13042</v>
      </c>
      <c r="BZ148" s="6">
        <v>273</v>
      </c>
      <c r="CA148" s="6" t="s">
        <v>674</v>
      </c>
      <c r="CB148" s="6" t="s">
        <v>671</v>
      </c>
      <c r="CD148" s="6" t="s">
        <v>196</v>
      </c>
      <c r="CE148" s="25">
        <v>1.88784E+18</v>
      </c>
    </row>
    <row r="149" spans="1:83" x14ac:dyDescent="0.2">
      <c r="A149" s="6" t="s">
        <v>675</v>
      </c>
      <c r="B149" s="24">
        <v>45810.896956018521</v>
      </c>
      <c r="C149" s="6" t="s">
        <v>676</v>
      </c>
      <c r="D149" s="6" t="s">
        <v>208</v>
      </c>
      <c r="E149" s="6">
        <v>3616</v>
      </c>
      <c r="F149" s="6">
        <v>25290.81</v>
      </c>
      <c r="G149" s="6">
        <v>3632</v>
      </c>
      <c r="H149" s="6">
        <v>298</v>
      </c>
      <c r="I149" s="6">
        <v>16.585999999999999</v>
      </c>
      <c r="J149" s="6">
        <v>6.9820000000000002</v>
      </c>
      <c r="K149" s="6" t="b">
        <v>1</v>
      </c>
      <c r="L149" s="6">
        <v>149</v>
      </c>
      <c r="M149" s="6">
        <v>135</v>
      </c>
      <c r="N149" s="6">
        <v>76.277884999999998</v>
      </c>
      <c r="O149" s="6">
        <v>518</v>
      </c>
      <c r="P149" s="6" t="b">
        <v>1</v>
      </c>
      <c r="Q149" s="6">
        <v>150</v>
      </c>
      <c r="R149" s="6">
        <v>157</v>
      </c>
      <c r="S149" s="6">
        <v>543713</v>
      </c>
      <c r="T149" s="6">
        <v>61.089492999999997</v>
      </c>
      <c r="U149" s="6">
        <v>37</v>
      </c>
      <c r="X149" s="6">
        <v>6.9941399999999998</v>
      </c>
      <c r="Y149" s="6">
        <v>38.651330000000002</v>
      </c>
      <c r="Z149" s="6">
        <v>36.530921999999997</v>
      </c>
      <c r="AA149" s="6">
        <v>206</v>
      </c>
      <c r="AB149" s="6">
        <v>1.0466666</v>
      </c>
      <c r="AC149" s="6">
        <v>1.1629628999999999</v>
      </c>
      <c r="AD149" s="6" t="b">
        <v>1</v>
      </c>
      <c r="AE149" s="6" t="b">
        <v>0</v>
      </c>
      <c r="AF149" s="6" t="b">
        <v>0</v>
      </c>
      <c r="AH149" s="6">
        <v>257</v>
      </c>
      <c r="AL149" s="6">
        <v>37</v>
      </c>
      <c r="AM149" s="6">
        <v>62</v>
      </c>
      <c r="AO149" s="6">
        <v>52</v>
      </c>
      <c r="AP149" s="6">
        <v>155</v>
      </c>
      <c r="AQ149" s="6">
        <v>124</v>
      </c>
      <c r="AR149" s="6">
        <v>138</v>
      </c>
      <c r="AS149" s="6">
        <v>144</v>
      </c>
      <c r="AT149" s="6">
        <v>154</v>
      </c>
      <c r="AU149" s="6">
        <v>158</v>
      </c>
      <c r="AV149" s="6">
        <v>163</v>
      </c>
      <c r="AW149" s="6">
        <v>190</v>
      </c>
      <c r="AX149" s="6">
        <v>484</v>
      </c>
      <c r="AY149" s="6">
        <v>1967</v>
      </c>
      <c r="AZ149" s="6">
        <v>866</v>
      </c>
      <c r="BA149" s="6">
        <v>299</v>
      </c>
      <c r="BB149" s="6">
        <v>0</v>
      </c>
      <c r="BC149" s="6">
        <v>0</v>
      </c>
      <c r="BD149" s="6">
        <v>0</v>
      </c>
      <c r="BE149" s="6">
        <v>1472</v>
      </c>
      <c r="BF149" s="6">
        <v>1789</v>
      </c>
      <c r="BG149" s="6">
        <v>298</v>
      </c>
      <c r="BH149" s="6">
        <v>57</v>
      </c>
      <c r="BI149" s="6">
        <v>0</v>
      </c>
      <c r="BJ149" s="6">
        <v>0</v>
      </c>
      <c r="BK149" s="6">
        <v>0</v>
      </c>
      <c r="BL149" s="6">
        <v>60</v>
      </c>
      <c r="BM149" s="6">
        <v>90</v>
      </c>
      <c r="BN149" s="6" t="b">
        <v>0</v>
      </c>
      <c r="BO149" s="6" t="b">
        <v>0</v>
      </c>
      <c r="BP149" s="6" t="b">
        <v>0</v>
      </c>
      <c r="BQ149" s="6">
        <v>3631</v>
      </c>
      <c r="BR149" s="6">
        <v>1200</v>
      </c>
      <c r="BS149" s="6">
        <v>600</v>
      </c>
      <c r="BW149" s="6">
        <v>165</v>
      </c>
      <c r="BX149" s="6">
        <v>161</v>
      </c>
      <c r="BY149" s="6">
        <v>14761</v>
      </c>
      <c r="BZ149" s="6">
        <v>250</v>
      </c>
      <c r="CA149" s="6" t="s">
        <v>677</v>
      </c>
      <c r="CB149" s="6" t="s">
        <v>671</v>
      </c>
      <c r="CD149" s="6" t="s">
        <v>196</v>
      </c>
      <c r="CE149" s="25">
        <v>1.88757E+18</v>
      </c>
    </row>
    <row r="150" spans="1:83" x14ac:dyDescent="0.2">
      <c r="A150" s="6" t="s">
        <v>678</v>
      </c>
      <c r="B150" s="24">
        <v>45810.317893518521</v>
      </c>
      <c r="C150" s="6" t="s">
        <v>679</v>
      </c>
      <c r="D150" s="6" t="s">
        <v>208</v>
      </c>
      <c r="E150" s="6">
        <v>2413</v>
      </c>
      <c r="F150" s="6">
        <v>19905.28</v>
      </c>
      <c r="G150" s="6">
        <v>2477</v>
      </c>
      <c r="H150" s="6">
        <v>32</v>
      </c>
      <c r="I150" s="6">
        <v>10.444000000000001</v>
      </c>
      <c r="J150" s="6">
        <v>8.2449999999999992</v>
      </c>
      <c r="K150" s="6" t="b">
        <v>1</v>
      </c>
      <c r="L150" s="6">
        <v>144</v>
      </c>
      <c r="M150" s="6">
        <v>122</v>
      </c>
      <c r="N150" s="6">
        <v>81.352065999999994</v>
      </c>
      <c r="O150" s="6">
        <v>341</v>
      </c>
      <c r="P150" s="6" t="b">
        <v>1</v>
      </c>
      <c r="Q150" s="6">
        <v>148</v>
      </c>
      <c r="R150" s="6">
        <v>160</v>
      </c>
      <c r="S150" s="6">
        <v>358003</v>
      </c>
      <c r="T150" s="6">
        <v>62.256810000000002</v>
      </c>
      <c r="U150" s="6">
        <v>26</v>
      </c>
      <c r="X150" s="6">
        <v>8.2491839999999996</v>
      </c>
      <c r="Y150" s="6">
        <v>38.651330000000002</v>
      </c>
      <c r="Z150" s="6">
        <v>36.530921999999997</v>
      </c>
      <c r="AA150" s="6">
        <v>206</v>
      </c>
      <c r="AB150" s="6">
        <v>1.081081</v>
      </c>
      <c r="AC150" s="6">
        <v>1.3114754</v>
      </c>
      <c r="AD150" s="6" t="b">
        <v>1</v>
      </c>
      <c r="AE150" s="6" t="b">
        <v>0</v>
      </c>
      <c r="AF150" s="6" t="b">
        <v>0</v>
      </c>
      <c r="AH150" s="6">
        <v>257</v>
      </c>
      <c r="AL150" s="6">
        <v>26</v>
      </c>
      <c r="AM150" s="6">
        <v>30</v>
      </c>
      <c r="AO150" s="6">
        <v>52</v>
      </c>
      <c r="AP150" s="6">
        <v>155</v>
      </c>
      <c r="AQ150" s="6">
        <v>124</v>
      </c>
      <c r="AR150" s="6">
        <v>138</v>
      </c>
      <c r="AS150" s="6">
        <v>144</v>
      </c>
      <c r="AT150" s="6">
        <v>154</v>
      </c>
      <c r="AU150" s="6">
        <v>158</v>
      </c>
      <c r="AV150" s="6">
        <v>163</v>
      </c>
      <c r="AW150" s="6">
        <v>190</v>
      </c>
      <c r="AX150" s="6">
        <v>1138</v>
      </c>
      <c r="AY150" s="6">
        <v>1034</v>
      </c>
      <c r="AZ150" s="6">
        <v>241</v>
      </c>
      <c r="BA150" s="6">
        <v>0</v>
      </c>
      <c r="BB150" s="6">
        <v>0</v>
      </c>
      <c r="BC150" s="6">
        <v>0</v>
      </c>
      <c r="BD150" s="6">
        <v>0</v>
      </c>
      <c r="BE150" s="6">
        <v>737</v>
      </c>
      <c r="BF150" s="6">
        <v>1309</v>
      </c>
      <c r="BG150" s="6">
        <v>367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90</v>
      </c>
      <c r="BN150" s="6" t="b">
        <v>0</v>
      </c>
      <c r="BO150" s="6" t="b">
        <v>0</v>
      </c>
      <c r="BP150" s="6" t="b">
        <v>0</v>
      </c>
      <c r="BQ150" s="6">
        <v>2411</v>
      </c>
      <c r="BR150" s="6">
        <v>0</v>
      </c>
      <c r="BS150" s="6">
        <v>0</v>
      </c>
      <c r="BW150" s="6">
        <v>161</v>
      </c>
      <c r="BX150" s="6">
        <v>158</v>
      </c>
      <c r="BY150" s="6">
        <v>13851</v>
      </c>
      <c r="BZ150" s="6">
        <v>328</v>
      </c>
      <c r="CA150" s="6" t="s">
        <v>680</v>
      </c>
      <c r="CB150" s="6" t="s">
        <v>681</v>
      </c>
      <c r="CD150" s="6" t="s">
        <v>196</v>
      </c>
      <c r="CE150" s="25">
        <v>1.88715E+18</v>
      </c>
    </row>
    <row r="151" spans="1:83" x14ac:dyDescent="0.2">
      <c r="A151" s="6" t="s">
        <v>682</v>
      </c>
      <c r="B151" s="24">
        <v>45808.261793981481</v>
      </c>
      <c r="C151" s="6" t="s">
        <v>507</v>
      </c>
      <c r="D151" s="6" t="s">
        <v>208</v>
      </c>
      <c r="E151" s="6">
        <v>2362</v>
      </c>
      <c r="F151" s="6">
        <v>9660.57</v>
      </c>
      <c r="G151" s="6">
        <v>2368</v>
      </c>
      <c r="H151" s="6">
        <v>143</v>
      </c>
      <c r="I151" s="6">
        <v>11.917999999999999</v>
      </c>
      <c r="J151" s="6">
        <v>4.0830000000000002</v>
      </c>
      <c r="K151" s="6" t="b">
        <v>1</v>
      </c>
      <c r="L151" s="6">
        <v>135</v>
      </c>
      <c r="M151" s="6">
        <v>109</v>
      </c>
      <c r="N151" s="6">
        <v>78.190169999999995</v>
      </c>
      <c r="O151" s="6">
        <v>201</v>
      </c>
      <c r="P151" s="6" t="b">
        <v>1</v>
      </c>
      <c r="Q151" s="6">
        <v>89</v>
      </c>
      <c r="R151" s="6">
        <v>89</v>
      </c>
      <c r="S151" s="6">
        <v>211439</v>
      </c>
      <c r="T151" s="6">
        <v>34.630352000000002</v>
      </c>
      <c r="U151" s="6">
        <v>8</v>
      </c>
      <c r="X151" s="6">
        <v>4.0899960000000002</v>
      </c>
      <c r="Y151" s="6">
        <v>40.273519999999998</v>
      </c>
      <c r="Z151" s="6">
        <v>36.757995999999999</v>
      </c>
      <c r="AA151" s="6">
        <v>206</v>
      </c>
      <c r="AB151" s="6">
        <v>1</v>
      </c>
      <c r="AC151" s="6">
        <v>0.81651379999999996</v>
      </c>
      <c r="AD151" s="6" t="b">
        <v>1</v>
      </c>
      <c r="AE151" s="6" t="b">
        <v>0</v>
      </c>
      <c r="AF151" s="6" t="b">
        <v>0</v>
      </c>
      <c r="AH151" s="6">
        <v>257</v>
      </c>
      <c r="AL151" s="6">
        <v>8</v>
      </c>
      <c r="AM151" s="6">
        <v>19</v>
      </c>
      <c r="AO151" s="6">
        <v>52</v>
      </c>
      <c r="AP151" s="6">
        <v>155</v>
      </c>
      <c r="AQ151" s="6">
        <v>124</v>
      </c>
      <c r="AR151" s="6">
        <v>138</v>
      </c>
      <c r="AS151" s="6">
        <v>144</v>
      </c>
      <c r="AT151" s="6">
        <v>154</v>
      </c>
      <c r="AU151" s="6">
        <v>158</v>
      </c>
      <c r="AV151" s="6">
        <v>163</v>
      </c>
      <c r="AW151" s="6">
        <v>190</v>
      </c>
      <c r="AX151" s="6">
        <v>2198</v>
      </c>
      <c r="AY151" s="6">
        <v>164</v>
      </c>
      <c r="AZ151" s="6">
        <v>0</v>
      </c>
      <c r="BA151" s="6">
        <v>0</v>
      </c>
      <c r="BB151" s="6">
        <v>0</v>
      </c>
      <c r="BC151" s="6">
        <v>0</v>
      </c>
      <c r="BD151" s="6">
        <v>0</v>
      </c>
      <c r="BE151" s="6">
        <v>2361</v>
      </c>
      <c r="BF151" s="6">
        <v>1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90</v>
      </c>
      <c r="BN151" s="6" t="b">
        <v>0</v>
      </c>
      <c r="BO151" s="6" t="b">
        <v>0</v>
      </c>
      <c r="BP151" s="6" t="b">
        <v>0</v>
      </c>
      <c r="BQ151" s="6">
        <v>2367</v>
      </c>
      <c r="BR151" s="6">
        <v>0</v>
      </c>
      <c r="BS151" s="6">
        <v>0</v>
      </c>
      <c r="BW151" s="6">
        <v>87</v>
      </c>
      <c r="BX151" s="6">
        <v>86</v>
      </c>
      <c r="BY151" s="6">
        <v>6574</v>
      </c>
      <c r="BZ151" s="6">
        <v>149</v>
      </c>
      <c r="CA151" s="6" t="s">
        <v>683</v>
      </c>
      <c r="CB151" s="6" t="s">
        <v>681</v>
      </c>
      <c r="CD151" s="6" t="s">
        <v>196</v>
      </c>
      <c r="CE151" s="25">
        <v>1.88566E+18</v>
      </c>
    </row>
    <row r="152" spans="1:83" x14ac:dyDescent="0.2">
      <c r="A152" s="6" t="s">
        <v>684</v>
      </c>
      <c r="B152" s="24">
        <v>45808.214780092596</v>
      </c>
      <c r="C152" s="6" t="s">
        <v>685</v>
      </c>
      <c r="D152" s="6" t="s">
        <v>208</v>
      </c>
      <c r="E152" s="6">
        <v>3916</v>
      </c>
      <c r="F152" s="6">
        <v>28937.25</v>
      </c>
      <c r="G152" s="6">
        <v>3919</v>
      </c>
      <c r="H152" s="6">
        <v>248</v>
      </c>
      <c r="I152" s="6">
        <v>18.41</v>
      </c>
      <c r="J152" s="6">
        <v>7.3810000000000002</v>
      </c>
      <c r="K152" s="6" t="b">
        <v>1</v>
      </c>
      <c r="L152" s="6">
        <v>148</v>
      </c>
      <c r="M152" s="6">
        <v>125</v>
      </c>
      <c r="N152" s="6">
        <v>74.534199999999998</v>
      </c>
      <c r="O152" s="6">
        <v>564</v>
      </c>
      <c r="P152" s="6" t="b">
        <v>1</v>
      </c>
      <c r="Q152" s="6">
        <v>151</v>
      </c>
      <c r="R152" s="6">
        <v>168</v>
      </c>
      <c r="S152" s="6">
        <v>591349</v>
      </c>
      <c r="T152" s="6">
        <v>65.369649999999993</v>
      </c>
      <c r="U152" s="6">
        <v>46</v>
      </c>
      <c r="X152" s="6">
        <v>7.3894919999999997</v>
      </c>
      <c r="Y152" s="6">
        <v>40.273519999999998</v>
      </c>
      <c r="Z152" s="6">
        <v>36.757995999999999</v>
      </c>
      <c r="AA152" s="6">
        <v>206</v>
      </c>
      <c r="AB152" s="6">
        <v>1.1125828</v>
      </c>
      <c r="AC152" s="6">
        <v>1.3440000000000001</v>
      </c>
      <c r="AD152" s="6" t="b">
        <v>1</v>
      </c>
      <c r="AE152" s="6" t="b">
        <v>0</v>
      </c>
      <c r="AF152" s="6" t="b">
        <v>0</v>
      </c>
      <c r="AH152" s="6">
        <v>257</v>
      </c>
      <c r="AL152" s="6">
        <v>46</v>
      </c>
      <c r="AM152" s="6">
        <v>53</v>
      </c>
      <c r="AO152" s="6">
        <v>52</v>
      </c>
      <c r="AP152" s="6">
        <v>155</v>
      </c>
      <c r="AQ152" s="6">
        <v>124</v>
      </c>
      <c r="AR152" s="6">
        <v>138</v>
      </c>
      <c r="AS152" s="6">
        <v>144</v>
      </c>
      <c r="AT152" s="6">
        <v>154</v>
      </c>
      <c r="AU152" s="6">
        <v>158</v>
      </c>
      <c r="AV152" s="6">
        <v>163</v>
      </c>
      <c r="AW152" s="6">
        <v>190</v>
      </c>
      <c r="AX152" s="6">
        <v>1614</v>
      </c>
      <c r="AY152" s="6">
        <v>1635</v>
      </c>
      <c r="AZ152" s="6">
        <v>614</v>
      </c>
      <c r="BA152" s="6">
        <v>53</v>
      </c>
      <c r="BB152" s="6">
        <v>0</v>
      </c>
      <c r="BC152" s="6">
        <v>0</v>
      </c>
      <c r="BD152" s="6">
        <v>0</v>
      </c>
      <c r="BE152" s="6">
        <v>2885</v>
      </c>
      <c r="BF152" s="6">
        <v>155</v>
      </c>
      <c r="BG152" s="6">
        <v>118</v>
      </c>
      <c r="BH152" s="6">
        <v>758</v>
      </c>
      <c r="BI152" s="6">
        <v>0</v>
      </c>
      <c r="BJ152" s="6">
        <v>0</v>
      </c>
      <c r="BK152" s="6">
        <v>0</v>
      </c>
      <c r="BL152" s="6">
        <v>806</v>
      </c>
      <c r="BM152" s="6">
        <v>90</v>
      </c>
      <c r="BN152" s="6" t="b">
        <v>0</v>
      </c>
      <c r="BO152" s="6" t="b">
        <v>0</v>
      </c>
      <c r="BP152" s="6" t="b">
        <v>0</v>
      </c>
      <c r="BQ152" s="6">
        <v>3918</v>
      </c>
      <c r="BR152" s="6">
        <v>1200</v>
      </c>
      <c r="BS152" s="6">
        <v>600</v>
      </c>
      <c r="BW152" s="6">
        <v>174</v>
      </c>
      <c r="BX152" s="6">
        <v>170</v>
      </c>
      <c r="BY152" s="6">
        <v>14673</v>
      </c>
      <c r="BZ152" s="6">
        <v>268</v>
      </c>
      <c r="CA152" s="6" t="s">
        <v>686</v>
      </c>
      <c r="CB152" s="6" t="s">
        <v>681</v>
      </c>
      <c r="CD152" s="6" t="s">
        <v>196</v>
      </c>
      <c r="CE152" s="25">
        <v>1.88563E+18</v>
      </c>
    </row>
    <row r="153" spans="1:83" x14ac:dyDescent="0.2">
      <c r="A153" s="6" t="s">
        <v>687</v>
      </c>
      <c r="B153" s="24">
        <v>45807.252476851849</v>
      </c>
      <c r="C153" s="6" t="s">
        <v>576</v>
      </c>
      <c r="D153" s="6" t="s">
        <v>193</v>
      </c>
      <c r="E153" s="6">
        <v>4695</v>
      </c>
      <c r="F153" s="6">
        <v>15745.86</v>
      </c>
      <c r="G153" s="6">
        <v>5165</v>
      </c>
      <c r="H153" s="6">
        <v>107</v>
      </c>
      <c r="I153" s="6">
        <v>7.4829999999999997</v>
      </c>
      <c r="J153" s="6">
        <v>3.3439999999999999</v>
      </c>
      <c r="K153" s="6" t="b">
        <v>1</v>
      </c>
      <c r="L153" s="6">
        <v>125</v>
      </c>
      <c r="M153" s="6">
        <v>99</v>
      </c>
      <c r="N153" s="6"/>
      <c r="O153" s="6">
        <v>479</v>
      </c>
      <c r="P153" s="6"/>
      <c r="Q153" s="6"/>
      <c r="R153" s="6"/>
      <c r="S153" s="6"/>
      <c r="T153" s="6">
        <v>46.042088</v>
      </c>
      <c r="U153" s="6">
        <v>28</v>
      </c>
      <c r="X153" s="6">
        <v>3.3537509999999999</v>
      </c>
      <c r="Y153" s="6">
        <v>38.165615000000003</v>
      </c>
      <c r="Z153" s="6">
        <v>36.342545000000001</v>
      </c>
      <c r="AA153" s="6">
        <v>207</v>
      </c>
      <c r="AB153" s="6"/>
      <c r="AC153" s="6"/>
      <c r="AD153" s="6"/>
      <c r="AE153" s="6" t="b">
        <v>0</v>
      </c>
      <c r="AF153" s="6" t="b">
        <v>0</v>
      </c>
      <c r="AH153" s="6">
        <v>257</v>
      </c>
      <c r="AL153" s="6"/>
      <c r="AM153" s="6">
        <v>28</v>
      </c>
      <c r="AO153" s="6">
        <v>52</v>
      </c>
      <c r="AP153" s="6">
        <v>155</v>
      </c>
      <c r="AQ153" s="6">
        <v>124</v>
      </c>
      <c r="AR153" s="6">
        <v>138</v>
      </c>
      <c r="AS153" s="6">
        <v>144</v>
      </c>
      <c r="AT153" s="6">
        <v>154</v>
      </c>
      <c r="AU153" s="6">
        <v>158</v>
      </c>
      <c r="AV153" s="6">
        <v>163</v>
      </c>
      <c r="AW153" s="6">
        <v>190</v>
      </c>
      <c r="AX153" s="6">
        <v>4684</v>
      </c>
      <c r="AY153" s="6">
        <v>25</v>
      </c>
      <c r="AZ153" s="6">
        <v>0</v>
      </c>
      <c r="BA153" s="6">
        <v>0</v>
      </c>
      <c r="BB153" s="6">
        <v>0</v>
      </c>
      <c r="BC153" s="6">
        <v>0</v>
      </c>
      <c r="BD153" s="6">
        <v>0</v>
      </c>
      <c r="BE153" s="6"/>
      <c r="BF153" s="6"/>
      <c r="BG153" s="6"/>
      <c r="BH153" s="6"/>
      <c r="BI153" s="6"/>
      <c r="BJ153" s="6"/>
      <c r="BK153" s="6"/>
      <c r="BL153" s="6"/>
      <c r="BM153" s="6">
        <v>90</v>
      </c>
      <c r="BN153" s="6" t="b">
        <v>0</v>
      </c>
      <c r="BO153" s="6" t="b">
        <v>0</v>
      </c>
      <c r="BP153" s="6" t="b">
        <v>0</v>
      </c>
      <c r="BQ153" s="6">
        <v>4755</v>
      </c>
      <c r="BR153" s="6">
        <v>1200</v>
      </c>
      <c r="BS153" s="6">
        <v>600</v>
      </c>
      <c r="BW153" s="6"/>
      <c r="BX153" s="6"/>
      <c r="BY153" s="6"/>
      <c r="BZ153" s="6"/>
      <c r="CA153" s="6" t="s">
        <v>688</v>
      </c>
      <c r="CB153" s="6" t="s">
        <v>689</v>
      </c>
      <c r="CD153" s="6" t="s">
        <v>196</v>
      </c>
      <c r="CE153" s="25">
        <v>19279648123</v>
      </c>
    </row>
    <row r="154" spans="1:83" x14ac:dyDescent="0.2">
      <c r="A154" s="6" t="s">
        <v>690</v>
      </c>
      <c r="B154" s="24">
        <v>45804.274155092593</v>
      </c>
      <c r="C154" s="6" t="s">
        <v>598</v>
      </c>
      <c r="D154" s="6" t="s">
        <v>208</v>
      </c>
      <c r="E154" s="6">
        <v>2411</v>
      </c>
      <c r="F154" s="6">
        <v>16703.47</v>
      </c>
      <c r="G154" s="6">
        <v>2412</v>
      </c>
      <c r="H154" s="6">
        <v>26</v>
      </c>
      <c r="I154" s="6">
        <v>9.5960000000000001</v>
      </c>
      <c r="J154" s="6">
        <v>6.9219999999999997</v>
      </c>
      <c r="K154" s="6" t="b">
        <v>1</v>
      </c>
      <c r="L154" s="6">
        <v>115</v>
      </c>
      <c r="M154" s="6">
        <v>91</v>
      </c>
      <c r="N154" s="6">
        <v>75.860305999999994</v>
      </c>
      <c r="O154" s="6">
        <v>204</v>
      </c>
      <c r="P154" s="6" t="b">
        <v>1</v>
      </c>
      <c r="Q154" s="6">
        <v>89</v>
      </c>
      <c r="R154" s="6">
        <v>89</v>
      </c>
      <c r="S154" s="6">
        <v>213912</v>
      </c>
      <c r="T154" s="6">
        <v>34.630352000000002</v>
      </c>
      <c r="U154" s="6">
        <v>8</v>
      </c>
      <c r="X154" s="6">
        <v>6.928026</v>
      </c>
      <c r="Y154" s="6">
        <v>52.864803000000002</v>
      </c>
      <c r="Z154" s="6">
        <v>38.325825000000002</v>
      </c>
      <c r="AA154" s="6">
        <v>207</v>
      </c>
      <c r="AB154" s="6">
        <v>1</v>
      </c>
      <c r="AC154" s="6">
        <v>0.97802199999999995</v>
      </c>
      <c r="AD154" s="6" t="b">
        <v>1</v>
      </c>
      <c r="AE154" s="6" t="b">
        <v>0</v>
      </c>
      <c r="AF154" s="6" t="b">
        <v>0</v>
      </c>
      <c r="AH154" s="6">
        <v>257</v>
      </c>
      <c r="AL154" s="6">
        <v>8</v>
      </c>
      <c r="AM154" s="6">
        <v>10</v>
      </c>
      <c r="AO154" s="6">
        <v>52</v>
      </c>
      <c r="AP154" s="6">
        <v>155</v>
      </c>
      <c r="AQ154" s="6">
        <v>124</v>
      </c>
      <c r="AR154" s="6">
        <v>138</v>
      </c>
      <c r="AS154" s="6">
        <v>144</v>
      </c>
      <c r="AT154" s="6">
        <v>154</v>
      </c>
      <c r="AU154" s="6">
        <v>158</v>
      </c>
      <c r="AV154" s="6">
        <v>163</v>
      </c>
      <c r="AW154" s="6">
        <v>190</v>
      </c>
      <c r="AX154" s="6">
        <v>2411</v>
      </c>
      <c r="AY154" s="6">
        <v>0</v>
      </c>
      <c r="AZ154" s="6">
        <v>0</v>
      </c>
      <c r="BA154" s="6">
        <v>0</v>
      </c>
      <c r="BB154" s="6">
        <v>0</v>
      </c>
      <c r="BC154" s="6">
        <v>0</v>
      </c>
      <c r="BD154" s="6">
        <v>0</v>
      </c>
      <c r="BE154" s="6">
        <v>2408</v>
      </c>
      <c r="BF154" s="6">
        <v>3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90</v>
      </c>
      <c r="BN154" s="6" t="b">
        <v>0</v>
      </c>
      <c r="BO154" s="6" t="b">
        <v>0</v>
      </c>
      <c r="BP154" s="6" t="b">
        <v>0</v>
      </c>
      <c r="BQ154" s="6">
        <v>2411</v>
      </c>
      <c r="BR154" s="6">
        <v>0</v>
      </c>
      <c r="BS154" s="6">
        <v>0</v>
      </c>
      <c r="BW154" s="6">
        <v>87</v>
      </c>
      <c r="BX154" s="6">
        <v>86</v>
      </c>
      <c r="BY154" s="6">
        <v>6574</v>
      </c>
      <c r="BZ154" s="6">
        <v>161</v>
      </c>
      <c r="CA154" s="6" t="s">
        <v>691</v>
      </c>
      <c r="CB154" s="6" t="s">
        <v>689</v>
      </c>
      <c r="CD154" s="6" t="s">
        <v>196</v>
      </c>
      <c r="CE154" s="25">
        <v>1.88277E+18</v>
      </c>
    </row>
    <row r="155" spans="1:83" x14ac:dyDescent="0.2">
      <c r="A155" s="6" t="s">
        <v>692</v>
      </c>
      <c r="B155" s="24">
        <v>45803.382743055554</v>
      </c>
      <c r="C155" s="6" t="s">
        <v>485</v>
      </c>
      <c r="D155" s="6" t="s">
        <v>208</v>
      </c>
      <c r="E155" s="6">
        <v>2405</v>
      </c>
      <c r="F155" s="6">
        <v>13259.81</v>
      </c>
      <c r="G155" s="6">
        <v>2422</v>
      </c>
      <c r="H155" s="6">
        <v>109</v>
      </c>
      <c r="I155" s="6">
        <v>17.372</v>
      </c>
      <c r="J155" s="6">
        <v>5.5010000000000003</v>
      </c>
      <c r="K155" s="6" t="b">
        <v>1</v>
      </c>
      <c r="L155" s="6">
        <v>122</v>
      </c>
      <c r="M155" s="6">
        <v>102</v>
      </c>
      <c r="N155" s="6">
        <v>74.634249999999994</v>
      </c>
      <c r="O155" s="6">
        <v>201</v>
      </c>
      <c r="P155" s="6" t="b">
        <v>1</v>
      </c>
      <c r="Q155" s="6">
        <v>88</v>
      </c>
      <c r="R155" s="6">
        <v>89</v>
      </c>
      <c r="S155" s="6">
        <v>211910</v>
      </c>
      <c r="T155" s="6">
        <v>34.630352000000002</v>
      </c>
      <c r="U155" s="6">
        <v>8</v>
      </c>
      <c r="X155" s="6">
        <v>5.5134344000000004</v>
      </c>
      <c r="Y155" s="6">
        <v>59.754466999999998</v>
      </c>
      <c r="Z155" s="6">
        <v>39.056533999999999</v>
      </c>
      <c r="AA155" s="6">
        <v>207</v>
      </c>
      <c r="AB155" s="6">
        <v>1.0113635999999999</v>
      </c>
      <c r="AC155" s="6">
        <v>0.87254900000000002</v>
      </c>
      <c r="AD155" s="6" t="b">
        <v>1</v>
      </c>
      <c r="AE155" s="6" t="b">
        <v>0</v>
      </c>
      <c r="AF155" s="6" t="b">
        <v>0</v>
      </c>
      <c r="AH155" s="6">
        <v>257</v>
      </c>
      <c r="AK155" s="6"/>
      <c r="AL155" s="6">
        <v>8</v>
      </c>
      <c r="AM155" s="6">
        <v>16</v>
      </c>
      <c r="AN155" s="6"/>
      <c r="AO155" s="6">
        <v>52</v>
      </c>
      <c r="AP155" s="6">
        <v>155</v>
      </c>
      <c r="AQ155" s="6">
        <v>124</v>
      </c>
      <c r="AR155" s="6">
        <v>138</v>
      </c>
      <c r="AS155" s="6">
        <v>144</v>
      </c>
      <c r="AT155" s="6">
        <v>154</v>
      </c>
      <c r="AU155" s="6">
        <v>158</v>
      </c>
      <c r="AV155" s="6">
        <v>163</v>
      </c>
      <c r="AW155" s="6">
        <v>190</v>
      </c>
      <c r="AX155" s="6">
        <v>2405</v>
      </c>
      <c r="AY155" s="6">
        <v>0</v>
      </c>
      <c r="AZ155" s="6">
        <v>0</v>
      </c>
      <c r="BA155" s="6">
        <v>0</v>
      </c>
      <c r="BB155" s="6">
        <v>0</v>
      </c>
      <c r="BC155" s="6">
        <v>0</v>
      </c>
      <c r="BD155" s="6">
        <v>0</v>
      </c>
      <c r="BE155" s="6">
        <v>2405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v>90</v>
      </c>
      <c r="BN155" s="6" t="b">
        <v>0</v>
      </c>
      <c r="BO155" s="6" t="b">
        <v>0</v>
      </c>
      <c r="BP155" s="6" t="b">
        <v>0</v>
      </c>
      <c r="BQ155" s="6">
        <v>2421</v>
      </c>
      <c r="BR155" s="6">
        <v>0</v>
      </c>
      <c r="BS155" s="6">
        <v>0</v>
      </c>
      <c r="BW155" s="6">
        <v>87</v>
      </c>
      <c r="BX155" s="6">
        <v>86</v>
      </c>
      <c r="BY155" s="6">
        <v>6532</v>
      </c>
      <c r="BZ155" s="6">
        <v>142</v>
      </c>
      <c r="CA155" s="6" t="s">
        <v>693</v>
      </c>
      <c r="CB155" s="6" t="s">
        <v>689</v>
      </c>
      <c r="CD155" s="6" t="s">
        <v>196</v>
      </c>
      <c r="CE155" s="25">
        <v>1.88213E+18</v>
      </c>
    </row>
    <row r="156" spans="1:83" x14ac:dyDescent="0.2">
      <c r="A156" s="6" t="s">
        <v>694</v>
      </c>
      <c r="B156" s="24">
        <v>45803.249247685184</v>
      </c>
      <c r="C156" s="6" t="s">
        <v>397</v>
      </c>
      <c r="D156" s="6" t="s">
        <v>220</v>
      </c>
      <c r="E156" s="6">
        <v>7575</v>
      </c>
      <c r="F156" s="6">
        <v>49139.839999999997</v>
      </c>
      <c r="G156" s="6">
        <v>8064</v>
      </c>
      <c r="H156" s="6">
        <v>465</v>
      </c>
      <c r="I156" s="6">
        <v>15.927</v>
      </c>
      <c r="J156" s="6">
        <v>6.48</v>
      </c>
      <c r="K156" s="6" t="b">
        <v>1</v>
      </c>
      <c r="L156" s="6">
        <v>130</v>
      </c>
      <c r="M156" s="6">
        <v>110</v>
      </c>
      <c r="N156" s="6"/>
      <c r="O156" s="6">
        <v>961</v>
      </c>
      <c r="P156" s="6"/>
      <c r="Q156" s="6"/>
      <c r="R156" s="6"/>
      <c r="S156" s="6"/>
      <c r="T156" s="6">
        <v>57.620809999999999</v>
      </c>
      <c r="U156" s="6">
        <v>70</v>
      </c>
      <c r="X156" s="6">
        <v>6.4871078000000004</v>
      </c>
      <c r="Y156" s="6">
        <v>59.754466999999998</v>
      </c>
      <c r="Z156" s="6">
        <v>39.056533999999999</v>
      </c>
      <c r="AA156" s="6">
        <v>207</v>
      </c>
      <c r="AB156" s="6"/>
      <c r="AC156" s="6"/>
      <c r="AD156" s="6"/>
      <c r="AE156" s="6" t="b">
        <v>0</v>
      </c>
      <c r="AF156" s="6" t="b">
        <v>0</v>
      </c>
      <c r="AH156" s="6">
        <v>257</v>
      </c>
      <c r="AK156" s="6"/>
      <c r="AL156" s="6"/>
      <c r="AM156" s="6">
        <v>70</v>
      </c>
      <c r="AN156" s="6"/>
      <c r="AO156" s="6">
        <v>52</v>
      </c>
      <c r="AP156" s="6">
        <v>155</v>
      </c>
      <c r="AQ156" s="6">
        <v>124</v>
      </c>
      <c r="AR156" s="6">
        <v>138</v>
      </c>
      <c r="AS156" s="6">
        <v>144</v>
      </c>
      <c r="AT156" s="6">
        <v>154</v>
      </c>
      <c r="AU156" s="6">
        <v>158</v>
      </c>
      <c r="AV156" s="6">
        <v>163</v>
      </c>
      <c r="AW156" s="6">
        <v>190</v>
      </c>
      <c r="AX156" s="6">
        <v>7106</v>
      </c>
      <c r="AY156" s="6">
        <v>479</v>
      </c>
      <c r="AZ156" s="6">
        <v>0</v>
      </c>
      <c r="BA156" s="6">
        <v>0</v>
      </c>
      <c r="BB156" s="6">
        <v>0</v>
      </c>
      <c r="BC156" s="6">
        <v>0</v>
      </c>
      <c r="BD156" s="6">
        <v>0</v>
      </c>
      <c r="BE156" s="6"/>
      <c r="BF156" s="6"/>
      <c r="BG156" s="6"/>
      <c r="BH156" s="6"/>
      <c r="BI156" s="6"/>
      <c r="BJ156" s="6"/>
      <c r="BK156" s="6"/>
      <c r="BL156" s="6"/>
      <c r="BM156" s="6">
        <v>90</v>
      </c>
      <c r="BN156" s="6" t="b">
        <v>0</v>
      </c>
      <c r="BO156" s="6" t="b">
        <v>0</v>
      </c>
      <c r="BP156" s="6" t="b">
        <v>0</v>
      </c>
      <c r="BQ156" s="6">
        <v>7590</v>
      </c>
      <c r="BR156" s="6">
        <v>1200</v>
      </c>
      <c r="BS156" s="6">
        <v>600</v>
      </c>
      <c r="BW156" s="6"/>
      <c r="BX156" s="6"/>
      <c r="BY156" s="6"/>
      <c r="BZ156" s="6"/>
      <c r="CA156" s="6" t="s">
        <v>695</v>
      </c>
      <c r="CB156" s="6" t="s">
        <v>696</v>
      </c>
      <c r="CD156" s="6" t="s">
        <v>196</v>
      </c>
      <c r="CE156" s="6">
        <v>19239996618</v>
      </c>
    </row>
    <row r="157" spans="1:83" x14ac:dyDescent="0.2">
      <c r="A157" s="6" t="s">
        <v>697</v>
      </c>
      <c r="B157" s="24">
        <v>45801.320983796293</v>
      </c>
      <c r="C157" s="6" t="s">
        <v>698</v>
      </c>
      <c r="D157" s="6" t="s">
        <v>199</v>
      </c>
      <c r="E157" s="6">
        <v>2206</v>
      </c>
      <c r="F157" s="6">
        <v>5008.78</v>
      </c>
      <c r="G157" s="6">
        <v>2207</v>
      </c>
      <c r="H157" s="6">
        <v>302</v>
      </c>
      <c r="I157" s="6">
        <v>2.79</v>
      </c>
      <c r="J157" s="6">
        <v>2.27</v>
      </c>
      <c r="K157" s="6" t="b">
        <v>1</v>
      </c>
      <c r="L157" s="6">
        <v>142</v>
      </c>
      <c r="M157" s="6">
        <v>133</v>
      </c>
      <c r="N157" s="6">
        <v>82.187780000000004</v>
      </c>
      <c r="O157" s="6">
        <v>451</v>
      </c>
      <c r="P157" s="6"/>
      <c r="Q157" s="6"/>
      <c r="R157" s="6"/>
      <c r="S157" s="6"/>
      <c r="T157" s="6">
        <v>67.597014999999999</v>
      </c>
      <c r="U157" s="6">
        <v>28</v>
      </c>
      <c r="X157" s="6">
        <v>2.2705256999999999</v>
      </c>
      <c r="Y157" s="6">
        <v>65.698520000000002</v>
      </c>
      <c r="Z157" s="6">
        <v>39.036650000000002</v>
      </c>
      <c r="AA157" s="6"/>
      <c r="AB157" s="6"/>
      <c r="AC157" s="6"/>
      <c r="AD157" s="6"/>
      <c r="AE157" s="6" t="b">
        <v>0</v>
      </c>
      <c r="AF157" s="6" t="b">
        <v>0</v>
      </c>
      <c r="AH157" s="6">
        <v>200</v>
      </c>
      <c r="AK157" s="6">
        <v>2.2222222999999999</v>
      </c>
      <c r="AL157" s="6"/>
      <c r="AM157" s="6">
        <v>28</v>
      </c>
      <c r="AN157" s="6">
        <v>98</v>
      </c>
      <c r="AO157" s="6">
        <v>52</v>
      </c>
      <c r="AP157" s="6">
        <v>163</v>
      </c>
      <c r="AQ157" s="6">
        <v>137</v>
      </c>
      <c r="AR157" s="6">
        <v>145</v>
      </c>
      <c r="AS157" s="6">
        <v>153</v>
      </c>
      <c r="AT157" s="6">
        <v>162</v>
      </c>
      <c r="AU157" s="6">
        <v>166</v>
      </c>
      <c r="AV157" s="6">
        <v>171</v>
      </c>
      <c r="AW157" s="6">
        <v>175</v>
      </c>
      <c r="AX157" s="6">
        <v>1745</v>
      </c>
      <c r="AY157" s="6">
        <v>463</v>
      </c>
      <c r="AZ157" s="6">
        <v>0</v>
      </c>
      <c r="BA157" s="6">
        <v>0</v>
      </c>
      <c r="BB157" s="6">
        <v>0</v>
      </c>
      <c r="BC157" s="6">
        <v>0</v>
      </c>
      <c r="BD157" s="6">
        <v>0</v>
      </c>
      <c r="BE157" s="6"/>
      <c r="BF157" s="6"/>
      <c r="BG157" s="6"/>
      <c r="BH157" s="6"/>
      <c r="BI157" s="6"/>
      <c r="BJ157" s="6"/>
      <c r="BK157" s="6"/>
      <c r="BL157" s="6"/>
      <c r="BM157" s="6">
        <v>90</v>
      </c>
      <c r="BN157" s="6" t="b">
        <v>0</v>
      </c>
      <c r="BO157" s="6" t="b">
        <v>0</v>
      </c>
      <c r="BP157" s="6" t="b">
        <v>0</v>
      </c>
      <c r="BQ157" s="6">
        <v>2206</v>
      </c>
      <c r="BR157" s="6">
        <v>300</v>
      </c>
      <c r="BS157" s="6">
        <v>300</v>
      </c>
      <c r="BW157" s="6"/>
      <c r="BX157" s="6"/>
      <c r="BY157" s="6"/>
      <c r="BZ157" s="6"/>
      <c r="CA157" s="6" t="s">
        <v>699</v>
      </c>
      <c r="CB157" s="6" t="s">
        <v>525</v>
      </c>
      <c r="CD157" s="6" t="s">
        <v>196</v>
      </c>
      <c r="CE157" s="25">
        <v>19221728795</v>
      </c>
    </row>
    <row r="158" spans="1:83" x14ac:dyDescent="0.2">
      <c r="A158" s="6" t="s">
        <v>700</v>
      </c>
      <c r="B158" s="24">
        <v>45801.17423611111</v>
      </c>
      <c r="C158" s="6" t="s">
        <v>701</v>
      </c>
      <c r="D158" s="6" t="s">
        <v>208</v>
      </c>
      <c r="E158" s="6">
        <v>4890</v>
      </c>
      <c r="F158" s="6">
        <v>45571.32</v>
      </c>
      <c r="G158" s="6">
        <v>4892</v>
      </c>
      <c r="H158" s="6">
        <v>71</v>
      </c>
      <c r="I158" s="6">
        <v>11.692</v>
      </c>
      <c r="J158" s="6">
        <v>9.3130000000000006</v>
      </c>
      <c r="K158" s="6" t="b">
        <v>1</v>
      </c>
      <c r="L158" s="6">
        <v>150</v>
      </c>
      <c r="M158" s="6">
        <v>133</v>
      </c>
      <c r="N158" s="6">
        <v>74.023635999999996</v>
      </c>
      <c r="O158" s="6">
        <v>843</v>
      </c>
      <c r="P158" s="6" t="b">
        <v>1</v>
      </c>
      <c r="Q158" s="6">
        <v>181</v>
      </c>
      <c r="R158" s="6">
        <v>188</v>
      </c>
      <c r="S158" s="6">
        <v>883395</v>
      </c>
      <c r="T158" s="6">
        <v>73.151750000000007</v>
      </c>
      <c r="U158" s="6">
        <v>73</v>
      </c>
      <c r="X158" s="6">
        <v>9.3192880000000002</v>
      </c>
      <c r="Y158" s="6">
        <v>65.698520000000002</v>
      </c>
      <c r="Z158" s="6">
        <v>39.036650000000002</v>
      </c>
      <c r="AA158" s="6">
        <v>207</v>
      </c>
      <c r="AB158" s="6">
        <v>1.0386740000000001</v>
      </c>
      <c r="AC158" s="6">
        <v>1.4135338</v>
      </c>
      <c r="AD158" s="6" t="b">
        <v>1</v>
      </c>
      <c r="AE158" s="6" t="b">
        <v>0</v>
      </c>
      <c r="AF158" s="6" t="b">
        <v>0</v>
      </c>
      <c r="AH158" s="6">
        <v>257</v>
      </c>
      <c r="AL158" s="6">
        <v>73</v>
      </c>
      <c r="AM158" s="6">
        <v>82</v>
      </c>
      <c r="AO158" s="6">
        <v>52</v>
      </c>
      <c r="AP158" s="6">
        <v>155</v>
      </c>
      <c r="AQ158" s="6">
        <v>124</v>
      </c>
      <c r="AR158" s="6">
        <v>138</v>
      </c>
      <c r="AS158" s="6">
        <v>144</v>
      </c>
      <c r="AT158" s="6">
        <v>154</v>
      </c>
      <c r="AU158" s="6">
        <v>158</v>
      </c>
      <c r="AV158" s="6">
        <v>163</v>
      </c>
      <c r="AW158" s="6">
        <v>190</v>
      </c>
      <c r="AX158" s="6">
        <v>1277</v>
      </c>
      <c r="AY158" s="6">
        <v>1443</v>
      </c>
      <c r="AZ158" s="6">
        <v>1305</v>
      </c>
      <c r="BA158" s="6">
        <v>865</v>
      </c>
      <c r="BB158" s="6">
        <v>0</v>
      </c>
      <c r="BC158" s="6">
        <v>0</v>
      </c>
      <c r="BD158" s="6">
        <v>0</v>
      </c>
      <c r="BE158" s="6">
        <v>973</v>
      </c>
      <c r="BF158" s="6">
        <v>969</v>
      </c>
      <c r="BG158" s="6">
        <v>2948</v>
      </c>
      <c r="BH158" s="6">
        <v>0</v>
      </c>
      <c r="BI158" s="6">
        <v>0</v>
      </c>
      <c r="BJ158" s="6">
        <v>0</v>
      </c>
      <c r="BK158" s="6">
        <v>0</v>
      </c>
      <c r="BL158" s="6">
        <v>30</v>
      </c>
      <c r="BM158" s="6">
        <v>90</v>
      </c>
      <c r="BN158" s="6" t="b">
        <v>0</v>
      </c>
      <c r="BO158" s="6" t="b">
        <v>0</v>
      </c>
      <c r="BP158" s="6" t="b">
        <v>0</v>
      </c>
      <c r="BQ158" s="6">
        <v>4891</v>
      </c>
      <c r="BR158" s="6">
        <v>1200</v>
      </c>
      <c r="BS158" s="6">
        <v>600</v>
      </c>
      <c r="BW158" s="6">
        <v>201</v>
      </c>
      <c r="BX158" s="6">
        <v>196</v>
      </c>
      <c r="BY158" s="6">
        <v>18774</v>
      </c>
      <c r="BZ158" s="6">
        <v>232</v>
      </c>
      <c r="CA158" s="6" t="s">
        <v>702</v>
      </c>
      <c r="CB158" s="6" t="s">
        <v>696</v>
      </c>
      <c r="CD158" s="6" t="s">
        <v>196</v>
      </c>
      <c r="CE158" s="25">
        <v>1.88053E+18</v>
      </c>
    </row>
    <row r="159" spans="1:83" x14ac:dyDescent="0.2">
      <c r="A159" s="6" t="s">
        <v>703</v>
      </c>
      <c r="B159" s="24">
        <v>45800.234270833331</v>
      </c>
      <c r="C159" s="6" t="s">
        <v>576</v>
      </c>
      <c r="D159" s="6" t="s">
        <v>193</v>
      </c>
      <c r="E159" s="6">
        <v>2985</v>
      </c>
      <c r="F159" s="6">
        <v>9131.0300000000007</v>
      </c>
      <c r="G159" s="6">
        <v>3342</v>
      </c>
      <c r="H159" s="6">
        <v>187</v>
      </c>
      <c r="I159" s="6">
        <v>9.7509999999999994</v>
      </c>
      <c r="J159" s="6">
        <v>3.0430000000000001</v>
      </c>
      <c r="K159" s="6" t="b">
        <v>1</v>
      </c>
      <c r="L159" s="6">
        <v>142</v>
      </c>
      <c r="M159" s="6">
        <v>114</v>
      </c>
      <c r="N159" s="6"/>
      <c r="O159" s="6">
        <v>430</v>
      </c>
      <c r="P159" s="6"/>
      <c r="Q159" s="6"/>
      <c r="R159" s="6"/>
      <c r="S159" s="6"/>
      <c r="T159" s="6">
        <v>59.950060000000001</v>
      </c>
      <c r="U159" s="6">
        <v>30</v>
      </c>
      <c r="X159" s="6">
        <v>3.0589716</v>
      </c>
      <c r="Y159" s="6">
        <v>60.277447000000002</v>
      </c>
      <c r="Z159" s="6">
        <v>37.54363</v>
      </c>
      <c r="AA159" s="6">
        <v>207</v>
      </c>
      <c r="AB159" s="6"/>
      <c r="AC159" s="6"/>
      <c r="AD159" s="6"/>
      <c r="AE159" s="6" t="b">
        <v>0</v>
      </c>
      <c r="AF159" s="6" t="b">
        <v>0</v>
      </c>
      <c r="AH159" s="6">
        <v>257</v>
      </c>
      <c r="AL159" s="6"/>
      <c r="AM159" s="6">
        <v>30</v>
      </c>
      <c r="AO159" s="6">
        <v>52</v>
      </c>
      <c r="AP159" s="6">
        <v>155</v>
      </c>
      <c r="AQ159" s="6">
        <v>124</v>
      </c>
      <c r="AR159" s="6">
        <v>138</v>
      </c>
      <c r="AS159" s="6">
        <v>144</v>
      </c>
      <c r="AT159" s="6">
        <v>154</v>
      </c>
      <c r="AU159" s="6">
        <v>158</v>
      </c>
      <c r="AV159" s="6">
        <v>163</v>
      </c>
      <c r="AW159" s="6">
        <v>190</v>
      </c>
      <c r="AX159" s="6">
        <v>2183</v>
      </c>
      <c r="AY159" s="6">
        <v>774</v>
      </c>
      <c r="AZ159" s="6">
        <v>44</v>
      </c>
      <c r="BA159" s="6">
        <v>0</v>
      </c>
      <c r="BB159" s="6">
        <v>0</v>
      </c>
      <c r="BC159" s="6">
        <v>0</v>
      </c>
      <c r="BD159" s="6">
        <v>0</v>
      </c>
      <c r="BE159" s="6"/>
      <c r="BF159" s="6"/>
      <c r="BG159" s="6"/>
      <c r="BH159" s="6"/>
      <c r="BI159" s="6"/>
      <c r="BJ159" s="6"/>
      <c r="BK159" s="6"/>
      <c r="BL159" s="6"/>
      <c r="BM159" s="6">
        <v>90</v>
      </c>
      <c r="BN159" s="6" t="b">
        <v>0</v>
      </c>
      <c r="BO159" s="6" t="b">
        <v>0</v>
      </c>
      <c r="BP159" s="6" t="b">
        <v>0</v>
      </c>
      <c r="BQ159" s="6">
        <v>3005</v>
      </c>
      <c r="BR159" s="6">
        <v>0</v>
      </c>
      <c r="BS159" s="6">
        <v>0</v>
      </c>
      <c r="BT159" s="6"/>
      <c r="BU159" s="6"/>
      <c r="BW159" s="6"/>
      <c r="BX159" s="6"/>
      <c r="BY159" s="6"/>
      <c r="BZ159" s="6"/>
      <c r="CA159" s="6" t="s">
        <v>704</v>
      </c>
      <c r="CB159" s="6" t="s">
        <v>696</v>
      </c>
      <c r="CD159" s="6" t="s">
        <v>196</v>
      </c>
      <c r="CE159" s="25">
        <v>19210788601</v>
      </c>
    </row>
    <row r="160" spans="1:83" x14ac:dyDescent="0.2">
      <c r="A160" s="6" t="s">
        <v>705</v>
      </c>
      <c r="B160" s="24">
        <v>45799.35392361111</v>
      </c>
      <c r="C160" s="6" t="s">
        <v>424</v>
      </c>
      <c r="D160" s="6" t="s">
        <v>208</v>
      </c>
      <c r="E160" s="6">
        <v>2404</v>
      </c>
      <c r="F160" s="6">
        <v>11205.97</v>
      </c>
      <c r="G160" s="6">
        <v>2407</v>
      </c>
      <c r="H160" s="6">
        <v>152</v>
      </c>
      <c r="I160" s="6">
        <v>14.965</v>
      </c>
      <c r="J160" s="6">
        <v>4.6529999999999996</v>
      </c>
      <c r="K160" s="6" t="b">
        <v>1</v>
      </c>
      <c r="L160" s="6">
        <v>126</v>
      </c>
      <c r="M160" s="6">
        <v>106</v>
      </c>
      <c r="N160" s="6">
        <v>75.487930000000006</v>
      </c>
      <c r="O160" s="6">
        <v>198</v>
      </c>
      <c r="P160" s="6" t="b">
        <v>1</v>
      </c>
      <c r="Q160" s="6">
        <v>86</v>
      </c>
      <c r="R160" s="6">
        <v>88</v>
      </c>
      <c r="S160" s="6">
        <v>207629</v>
      </c>
      <c r="T160" s="6">
        <v>34.241244999999999</v>
      </c>
      <c r="U160" s="6">
        <v>8</v>
      </c>
      <c r="X160" s="6">
        <v>4.6613850000000001</v>
      </c>
      <c r="Y160" s="6">
        <v>64.927000000000007</v>
      </c>
      <c r="Z160" s="6">
        <v>37.725394999999999</v>
      </c>
      <c r="AA160" s="6">
        <v>207</v>
      </c>
      <c r="AB160" s="6">
        <v>1.0232558</v>
      </c>
      <c r="AC160" s="6">
        <v>0.8301887</v>
      </c>
      <c r="AD160" s="6" t="b">
        <v>1</v>
      </c>
      <c r="AE160" s="6" t="b">
        <v>0</v>
      </c>
      <c r="AF160" s="6" t="b">
        <v>0</v>
      </c>
      <c r="AH160" s="6">
        <v>257</v>
      </c>
      <c r="AL160" s="6">
        <v>8</v>
      </c>
      <c r="AM160" s="6">
        <v>18</v>
      </c>
      <c r="AO160" s="6">
        <v>52</v>
      </c>
      <c r="AP160" s="6">
        <v>155</v>
      </c>
      <c r="AQ160" s="6">
        <v>124</v>
      </c>
      <c r="AR160" s="6">
        <v>138</v>
      </c>
      <c r="AS160" s="6">
        <v>144</v>
      </c>
      <c r="AT160" s="6">
        <v>154</v>
      </c>
      <c r="AU160" s="6">
        <v>158</v>
      </c>
      <c r="AV160" s="6">
        <v>163</v>
      </c>
      <c r="AW160" s="6">
        <v>190</v>
      </c>
      <c r="AX160" s="6">
        <v>2381</v>
      </c>
      <c r="AY160" s="6">
        <v>23</v>
      </c>
      <c r="AZ160" s="6">
        <v>0</v>
      </c>
      <c r="BA160" s="6">
        <v>0</v>
      </c>
      <c r="BB160" s="6">
        <v>0</v>
      </c>
      <c r="BC160" s="6">
        <v>0</v>
      </c>
      <c r="BD160" s="6">
        <v>0</v>
      </c>
      <c r="BE160" s="6">
        <v>2404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90</v>
      </c>
      <c r="BN160" s="6" t="b">
        <v>0</v>
      </c>
      <c r="BO160" s="6" t="b">
        <v>0</v>
      </c>
      <c r="BP160" s="6" t="b">
        <v>0</v>
      </c>
      <c r="BQ160" s="6">
        <v>2406</v>
      </c>
      <c r="BR160" s="6">
        <v>0</v>
      </c>
      <c r="BS160" s="6">
        <v>0</v>
      </c>
      <c r="BT160" s="6"/>
      <c r="BU160" s="6"/>
      <c r="BW160" s="6">
        <v>85</v>
      </c>
      <c r="BX160" s="6">
        <v>84</v>
      </c>
      <c r="BY160" s="6">
        <v>6408</v>
      </c>
      <c r="BZ160" s="6">
        <v>166</v>
      </c>
      <c r="CA160" s="6" t="s">
        <v>706</v>
      </c>
      <c r="CB160" s="6" t="s">
        <v>707</v>
      </c>
      <c r="CD160" s="6" t="s">
        <v>196</v>
      </c>
      <c r="CE160" s="25">
        <v>1.87921E+18</v>
      </c>
    </row>
    <row r="161" spans="1:83" x14ac:dyDescent="0.2">
      <c r="A161" s="6" t="s">
        <v>708</v>
      </c>
      <c r="B161" s="24">
        <v>45799.293240740742</v>
      </c>
      <c r="C161" s="6" t="s">
        <v>709</v>
      </c>
      <c r="D161" s="6" t="s">
        <v>208</v>
      </c>
      <c r="E161" s="6">
        <v>4807</v>
      </c>
      <c r="F161" s="6">
        <v>40422.800000000003</v>
      </c>
      <c r="G161" s="6">
        <v>4813</v>
      </c>
      <c r="H161" s="6">
        <v>240</v>
      </c>
      <c r="I161" s="6">
        <v>13.819000000000001</v>
      </c>
      <c r="J161" s="6">
        <v>8.4</v>
      </c>
      <c r="K161" s="6" t="b">
        <v>1</v>
      </c>
      <c r="L161" s="6">
        <v>159</v>
      </c>
      <c r="M161" s="6">
        <v>136</v>
      </c>
      <c r="N161" s="6">
        <v>68.208693999999994</v>
      </c>
      <c r="O161" s="6">
        <v>796</v>
      </c>
      <c r="P161" s="6" t="b">
        <v>1</v>
      </c>
      <c r="Q161" s="6">
        <v>173</v>
      </c>
      <c r="R161" s="6">
        <v>194</v>
      </c>
      <c r="S161" s="6">
        <v>834881</v>
      </c>
      <c r="T161" s="6">
        <v>75.486379999999997</v>
      </c>
      <c r="U161" s="6">
        <v>76</v>
      </c>
      <c r="X161" s="6">
        <v>8.4091539999999991</v>
      </c>
      <c r="Y161" s="6">
        <v>64.927000000000007</v>
      </c>
      <c r="Z161" s="6">
        <v>37.725394999999999</v>
      </c>
      <c r="AA161" s="6">
        <v>207</v>
      </c>
      <c r="AB161" s="6">
        <v>1.1213872</v>
      </c>
      <c r="AC161" s="6">
        <v>1.4264706</v>
      </c>
      <c r="AD161" s="6" t="b">
        <v>1</v>
      </c>
      <c r="AE161" s="6" t="b">
        <v>0</v>
      </c>
      <c r="AF161" s="6" t="b">
        <v>0</v>
      </c>
      <c r="AH161" s="6">
        <v>257</v>
      </c>
      <c r="AL161" s="6">
        <v>76</v>
      </c>
      <c r="AM161" s="6">
        <v>89</v>
      </c>
      <c r="AO161" s="6">
        <v>52</v>
      </c>
      <c r="AP161" s="6">
        <v>155</v>
      </c>
      <c r="AQ161" s="6">
        <v>124</v>
      </c>
      <c r="AR161" s="6">
        <v>138</v>
      </c>
      <c r="AS161" s="6">
        <v>144</v>
      </c>
      <c r="AT161" s="6">
        <v>154</v>
      </c>
      <c r="AU161" s="6">
        <v>158</v>
      </c>
      <c r="AV161" s="6">
        <v>163</v>
      </c>
      <c r="AW161" s="6">
        <v>190</v>
      </c>
      <c r="AX161" s="6">
        <v>838</v>
      </c>
      <c r="AY161" s="6">
        <v>1414</v>
      </c>
      <c r="AZ161" s="6">
        <v>762</v>
      </c>
      <c r="BA161" s="6">
        <v>1443</v>
      </c>
      <c r="BB161" s="6">
        <v>348</v>
      </c>
      <c r="BC161" s="6">
        <v>2</v>
      </c>
      <c r="BD161" s="6">
        <v>0</v>
      </c>
      <c r="BE161" s="6">
        <v>890</v>
      </c>
      <c r="BF161" s="6">
        <v>2344</v>
      </c>
      <c r="BG161" s="6">
        <v>635</v>
      </c>
      <c r="BH161" s="6">
        <v>933</v>
      </c>
      <c r="BI161" s="6">
        <v>5</v>
      </c>
      <c r="BJ161" s="6">
        <v>0</v>
      </c>
      <c r="BK161" s="6">
        <v>0</v>
      </c>
      <c r="BL161" s="6">
        <v>339</v>
      </c>
      <c r="BM161" s="6">
        <v>90</v>
      </c>
      <c r="BN161" s="6" t="b">
        <v>0</v>
      </c>
      <c r="BO161" s="6" t="b">
        <v>0</v>
      </c>
      <c r="BP161" s="6" t="b">
        <v>0</v>
      </c>
      <c r="BQ161" s="6">
        <v>4812</v>
      </c>
      <c r="BR161" s="6">
        <v>1200</v>
      </c>
      <c r="BS161" s="6">
        <v>600</v>
      </c>
      <c r="BT161" s="6">
        <v>10</v>
      </c>
      <c r="BU161" s="6">
        <v>159</v>
      </c>
      <c r="BW161" s="6">
        <v>199</v>
      </c>
      <c r="BX161" s="6">
        <v>194</v>
      </c>
      <c r="BY161" s="6">
        <v>18952</v>
      </c>
      <c r="BZ161" s="6">
        <v>281</v>
      </c>
      <c r="CA161" s="6" t="s">
        <v>710</v>
      </c>
      <c r="CB161" s="6" t="s">
        <v>707</v>
      </c>
      <c r="CD161" s="6" t="s">
        <v>196</v>
      </c>
      <c r="CE161" s="25">
        <v>1.87916E+18</v>
      </c>
    </row>
    <row r="162" spans="1:83" x14ac:dyDescent="0.2">
      <c r="A162" s="6" t="s">
        <v>711</v>
      </c>
      <c r="B162" s="24">
        <v>45797.218113425923</v>
      </c>
      <c r="C162" s="6" t="s">
        <v>576</v>
      </c>
      <c r="D162" s="6" t="s">
        <v>193</v>
      </c>
      <c r="E162" s="6">
        <v>10120</v>
      </c>
      <c r="F162" s="6">
        <v>42302.45</v>
      </c>
      <c r="G162" s="6">
        <v>10457</v>
      </c>
      <c r="H162" s="6">
        <v>558</v>
      </c>
      <c r="I162" s="6">
        <v>11.513999999999999</v>
      </c>
      <c r="J162" s="6">
        <v>4.1749999999999998</v>
      </c>
      <c r="K162" s="6" t="b">
        <v>1</v>
      </c>
      <c r="L162" s="6">
        <v>143</v>
      </c>
      <c r="M162" s="6">
        <v>118</v>
      </c>
      <c r="N162" s="6"/>
      <c r="O162" s="6">
        <v>1333</v>
      </c>
      <c r="P162" s="6"/>
      <c r="Q162" s="6"/>
      <c r="R162" s="6"/>
      <c r="S162" s="6"/>
      <c r="T162" s="6">
        <v>61.351902000000003</v>
      </c>
      <c r="U162" s="6">
        <v>106</v>
      </c>
      <c r="X162" s="6">
        <v>4.1800838000000002</v>
      </c>
      <c r="Y162" s="6">
        <v>71.518789999999996</v>
      </c>
      <c r="Z162" s="6">
        <v>37.492534999999997</v>
      </c>
      <c r="AA162" s="6">
        <v>207</v>
      </c>
      <c r="AB162" s="6"/>
      <c r="AC162" s="6"/>
      <c r="AD162" s="6"/>
      <c r="AE162" s="6" t="b">
        <v>0</v>
      </c>
      <c r="AF162" s="6" t="b">
        <v>0</v>
      </c>
      <c r="AH162" s="6">
        <v>257</v>
      </c>
      <c r="AL162" s="6"/>
      <c r="AM162" s="6">
        <v>106</v>
      </c>
      <c r="AO162" s="6">
        <v>52</v>
      </c>
      <c r="AP162" s="6">
        <v>155</v>
      </c>
      <c r="AQ162" s="6">
        <v>124</v>
      </c>
      <c r="AR162" s="6">
        <v>138</v>
      </c>
      <c r="AS162" s="6">
        <v>144</v>
      </c>
      <c r="AT162" s="6">
        <v>154</v>
      </c>
      <c r="AU162" s="6">
        <v>158</v>
      </c>
      <c r="AV162" s="6">
        <v>163</v>
      </c>
      <c r="AW162" s="6">
        <v>190</v>
      </c>
      <c r="AX162" s="6">
        <v>7653</v>
      </c>
      <c r="AY162" s="6">
        <v>2334</v>
      </c>
      <c r="AZ162" s="6">
        <v>146</v>
      </c>
      <c r="BA162" s="6">
        <v>0</v>
      </c>
      <c r="BB162" s="6">
        <v>0</v>
      </c>
      <c r="BC162" s="6">
        <v>0</v>
      </c>
      <c r="BD162" s="6">
        <v>0</v>
      </c>
      <c r="BE162" s="6"/>
      <c r="BF162" s="6"/>
      <c r="BG162" s="6"/>
      <c r="BH162" s="6"/>
      <c r="BI162" s="6"/>
      <c r="BJ162" s="6"/>
      <c r="BK162" s="6"/>
      <c r="BL162" s="6"/>
      <c r="BM162" s="6">
        <v>90</v>
      </c>
      <c r="BN162" s="6" t="b">
        <v>0</v>
      </c>
      <c r="BO162" s="6" t="b">
        <v>0</v>
      </c>
      <c r="BP162" s="6" t="b">
        <v>0</v>
      </c>
      <c r="BQ162" s="6">
        <v>10138</v>
      </c>
      <c r="BR162" s="6">
        <v>1200</v>
      </c>
      <c r="BS162" s="6">
        <v>600</v>
      </c>
      <c r="BT162" s="6"/>
      <c r="BU162" s="6"/>
      <c r="BW162" s="6"/>
      <c r="BX162" s="6"/>
      <c r="BY162" s="6"/>
      <c r="BZ162" s="6"/>
      <c r="CA162" s="6" t="s">
        <v>712</v>
      </c>
      <c r="CB162" s="6" t="s">
        <v>707</v>
      </c>
      <c r="CD162" s="6" t="s">
        <v>196</v>
      </c>
      <c r="CE162" s="25">
        <v>19182048691</v>
      </c>
    </row>
    <row r="163" spans="1:83" x14ac:dyDescent="0.2">
      <c r="A163" s="6" t="s">
        <v>713</v>
      </c>
      <c r="B163" s="24">
        <v>45796.447650462964</v>
      </c>
      <c r="C163" s="6" t="s">
        <v>714</v>
      </c>
      <c r="D163" s="6" t="s">
        <v>208</v>
      </c>
      <c r="E163" s="6">
        <v>2404</v>
      </c>
      <c r="F163" s="6">
        <v>15828.56</v>
      </c>
      <c r="G163" s="6">
        <v>2406</v>
      </c>
      <c r="H163" s="6">
        <v>54</v>
      </c>
      <c r="I163" s="6">
        <v>11.788</v>
      </c>
      <c r="J163" s="6">
        <v>6.5759999999999996</v>
      </c>
      <c r="K163" s="6" t="b">
        <v>1</v>
      </c>
      <c r="L163" s="6">
        <v>131</v>
      </c>
      <c r="M163" s="6">
        <v>114</v>
      </c>
      <c r="N163" s="6">
        <v>75.374049999999997</v>
      </c>
      <c r="O163" s="6">
        <v>202</v>
      </c>
      <c r="P163" s="6" t="b">
        <v>1</v>
      </c>
      <c r="Q163" s="6">
        <v>88</v>
      </c>
      <c r="R163" s="6">
        <v>89</v>
      </c>
      <c r="S163" s="6">
        <v>211711</v>
      </c>
      <c r="T163" s="6">
        <v>34.630352000000002</v>
      </c>
      <c r="U163" s="6">
        <v>8</v>
      </c>
      <c r="X163" s="6">
        <v>6.5842594999999999</v>
      </c>
      <c r="Y163" s="6">
        <v>66.223690000000005</v>
      </c>
      <c r="Z163" s="6">
        <v>35.841830000000002</v>
      </c>
      <c r="AA163" s="6">
        <v>207</v>
      </c>
      <c r="AB163" s="6">
        <v>1.0113635999999999</v>
      </c>
      <c r="AC163" s="6">
        <v>0.78070176000000002</v>
      </c>
      <c r="AD163" s="6" t="b">
        <v>1</v>
      </c>
      <c r="AE163" s="6" t="b">
        <v>0</v>
      </c>
      <c r="AF163" s="6" t="b">
        <v>0</v>
      </c>
      <c r="AH163" s="6">
        <v>257</v>
      </c>
      <c r="AL163" s="6">
        <v>8</v>
      </c>
      <c r="AM163" s="6">
        <v>23</v>
      </c>
      <c r="AO163" s="6">
        <v>52</v>
      </c>
      <c r="AP163" s="6">
        <v>155</v>
      </c>
      <c r="AQ163" s="6">
        <v>124</v>
      </c>
      <c r="AR163" s="6">
        <v>138</v>
      </c>
      <c r="AS163" s="6">
        <v>144</v>
      </c>
      <c r="AT163" s="6">
        <v>154</v>
      </c>
      <c r="AU163" s="6">
        <v>158</v>
      </c>
      <c r="AV163" s="6">
        <v>163</v>
      </c>
      <c r="AW163" s="6">
        <v>190</v>
      </c>
      <c r="AX163" s="6">
        <v>2253</v>
      </c>
      <c r="AY163" s="6">
        <v>151</v>
      </c>
      <c r="AZ163" s="6">
        <v>0</v>
      </c>
      <c r="BA163" s="6">
        <v>0</v>
      </c>
      <c r="BB163" s="6">
        <v>0</v>
      </c>
      <c r="BC163" s="6">
        <v>0</v>
      </c>
      <c r="BD163" s="6">
        <v>0</v>
      </c>
      <c r="BE163" s="6">
        <v>2404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v>90</v>
      </c>
      <c r="BN163" s="6" t="b">
        <v>0</v>
      </c>
      <c r="BO163" s="6" t="b">
        <v>0</v>
      </c>
      <c r="BP163" s="6" t="b">
        <v>0</v>
      </c>
      <c r="BQ163" s="6">
        <v>2405</v>
      </c>
      <c r="BR163" s="6">
        <v>0</v>
      </c>
      <c r="BS163" s="6">
        <v>0</v>
      </c>
      <c r="BT163" s="6"/>
      <c r="BU163" s="6"/>
      <c r="BW163" s="6">
        <v>87</v>
      </c>
      <c r="BX163" s="6">
        <v>86</v>
      </c>
      <c r="BY163" s="6">
        <v>6574</v>
      </c>
      <c r="BZ163" s="6">
        <v>152</v>
      </c>
      <c r="CA163" s="6" t="s">
        <v>715</v>
      </c>
      <c r="CB163" s="6" t="s">
        <v>716</v>
      </c>
      <c r="CD163" s="6" t="s">
        <v>196</v>
      </c>
      <c r="CE163" s="25">
        <v>1.8771E+18</v>
      </c>
    </row>
    <row r="164" spans="1:83" x14ac:dyDescent="0.2">
      <c r="A164" s="6" t="s">
        <v>717</v>
      </c>
      <c r="B164" s="24">
        <v>45796.241307870368</v>
      </c>
      <c r="C164" s="6" t="s">
        <v>718</v>
      </c>
      <c r="D164" s="6" t="s">
        <v>719</v>
      </c>
      <c r="E164" s="6">
        <v>15898</v>
      </c>
      <c r="F164" s="6">
        <v>86399.21</v>
      </c>
      <c r="G164" s="6">
        <v>16137</v>
      </c>
      <c r="H164" s="6">
        <v>1240</v>
      </c>
      <c r="I164" s="6">
        <v>17.364000000000001</v>
      </c>
      <c r="J164" s="6">
        <v>5.4349999999999996</v>
      </c>
      <c r="K164" s="6" t="b">
        <v>1</v>
      </c>
      <c r="L164" s="6">
        <v>159</v>
      </c>
      <c r="M164" s="6">
        <v>126</v>
      </c>
      <c r="N164" s="6">
        <v>74.84975</v>
      </c>
      <c r="O164" s="6">
        <v>2568</v>
      </c>
      <c r="P164" s="6" t="b">
        <v>1</v>
      </c>
      <c r="Q164" s="6">
        <v>136</v>
      </c>
      <c r="R164" s="6">
        <v>164</v>
      </c>
      <c r="S164" s="6">
        <v>2157739</v>
      </c>
      <c r="T164" s="6">
        <v>63.813229999999997</v>
      </c>
      <c r="U164" s="6">
        <v>180</v>
      </c>
      <c r="X164" s="6">
        <v>5.434596</v>
      </c>
      <c r="Y164" s="6">
        <v>66.223690000000005</v>
      </c>
      <c r="Z164" s="6">
        <v>35.841830000000002</v>
      </c>
      <c r="AA164" s="6">
        <v>207</v>
      </c>
      <c r="AB164" s="6">
        <v>1.2058823000000001</v>
      </c>
      <c r="AC164" s="6">
        <v>1.3015873</v>
      </c>
      <c r="AE164" s="6" t="b">
        <v>0</v>
      </c>
      <c r="AF164" s="6" t="b">
        <v>0</v>
      </c>
      <c r="AH164" s="6">
        <v>257</v>
      </c>
      <c r="AL164" s="6">
        <v>180</v>
      </c>
      <c r="AM164" s="6">
        <v>220</v>
      </c>
      <c r="AO164" s="6">
        <v>52</v>
      </c>
      <c r="AP164" s="6">
        <v>155</v>
      </c>
      <c r="AQ164" s="6">
        <v>124</v>
      </c>
      <c r="AR164" s="6">
        <v>138</v>
      </c>
      <c r="AS164" s="6">
        <v>144</v>
      </c>
      <c r="AT164" s="6">
        <v>154</v>
      </c>
      <c r="AU164" s="6">
        <v>158</v>
      </c>
      <c r="AV164" s="6">
        <v>163</v>
      </c>
      <c r="AW164" s="6">
        <v>190</v>
      </c>
      <c r="AX164" s="6">
        <v>5457</v>
      </c>
      <c r="AY164" s="6">
        <v>8661</v>
      </c>
      <c r="AZ164" s="6">
        <v>1211</v>
      </c>
      <c r="BA164" s="6">
        <v>411</v>
      </c>
      <c r="BB164" s="6">
        <v>153</v>
      </c>
      <c r="BC164" s="6">
        <v>5</v>
      </c>
      <c r="BD164" s="6">
        <v>0</v>
      </c>
      <c r="BE164" s="6">
        <v>7182</v>
      </c>
      <c r="BF164" s="6">
        <v>5644</v>
      </c>
      <c r="BG164" s="6">
        <v>2054</v>
      </c>
      <c r="BH164" s="6">
        <v>806</v>
      </c>
      <c r="BI164" s="6">
        <v>141</v>
      </c>
      <c r="BJ164" s="6">
        <v>69</v>
      </c>
      <c r="BK164" s="6">
        <v>2</v>
      </c>
      <c r="BL164" s="6">
        <v>1168</v>
      </c>
      <c r="BM164" s="6">
        <v>90</v>
      </c>
      <c r="BN164" s="6" t="b">
        <v>0</v>
      </c>
      <c r="BO164" s="6" t="b">
        <v>0</v>
      </c>
      <c r="BP164" s="6" t="b">
        <v>0</v>
      </c>
      <c r="BQ164" s="6">
        <v>15906</v>
      </c>
      <c r="BR164" s="6">
        <v>1200</v>
      </c>
      <c r="BS164" s="6">
        <v>600</v>
      </c>
      <c r="BT164" s="6">
        <v>11</v>
      </c>
      <c r="BU164" s="6">
        <v>156</v>
      </c>
      <c r="BW164" s="6">
        <v>204</v>
      </c>
      <c r="BX164" s="6">
        <v>199</v>
      </c>
      <c r="BY164" s="6">
        <v>18537</v>
      </c>
      <c r="BZ164" s="6">
        <v>531</v>
      </c>
      <c r="CA164" s="6" t="s">
        <v>720</v>
      </c>
      <c r="CB164" s="6" t="s">
        <v>716</v>
      </c>
      <c r="CD164" s="6" t="s">
        <v>196</v>
      </c>
      <c r="CE164" s="6">
        <v>19172888951</v>
      </c>
    </row>
    <row r="165" spans="1:83" x14ac:dyDescent="0.2">
      <c r="A165" s="6" t="s">
        <v>721</v>
      </c>
      <c r="B165" s="24">
        <v>45796.237326388888</v>
      </c>
      <c r="C165" s="6" t="s">
        <v>722</v>
      </c>
      <c r="D165" s="6" t="s">
        <v>719</v>
      </c>
      <c r="E165" s="6">
        <v>108</v>
      </c>
      <c r="F165" s="6">
        <v>749.19</v>
      </c>
      <c r="G165" s="6">
        <v>108</v>
      </c>
      <c r="H165" s="6">
        <v>1</v>
      </c>
      <c r="I165" s="6">
        <v>9.7319999999999993</v>
      </c>
      <c r="J165" s="6">
        <v>6.899</v>
      </c>
      <c r="K165" s="6" t="b">
        <v>1</v>
      </c>
      <c r="L165" s="6">
        <v>99</v>
      </c>
      <c r="M165" s="6">
        <v>93</v>
      </c>
      <c r="N165" s="6">
        <v>72.895520000000005</v>
      </c>
      <c r="O165" s="6">
        <v>10</v>
      </c>
      <c r="P165" s="6" t="b">
        <v>1</v>
      </c>
      <c r="Q165" s="6">
        <v>71</v>
      </c>
      <c r="R165" s="6">
        <v>76</v>
      </c>
      <c r="S165" s="6">
        <v>7567</v>
      </c>
      <c r="T165" s="6">
        <v>29.571985000000002</v>
      </c>
      <c r="U165" s="6">
        <v>0</v>
      </c>
      <c r="X165" s="6">
        <v>6.9369445000000001</v>
      </c>
      <c r="Y165" s="6">
        <v>66.223690000000005</v>
      </c>
      <c r="Z165" s="6">
        <v>35.841830000000002</v>
      </c>
      <c r="AA165" s="6">
        <v>207</v>
      </c>
      <c r="AB165" s="6">
        <v>1.0704225000000001</v>
      </c>
      <c r="AC165" s="6">
        <v>0.81720429999999999</v>
      </c>
      <c r="AD165" s="6"/>
      <c r="AE165" s="6" t="b">
        <v>0</v>
      </c>
      <c r="AF165" s="6" t="b">
        <v>0</v>
      </c>
      <c r="AH165" s="6">
        <v>257</v>
      </c>
      <c r="AL165" s="6">
        <v>0</v>
      </c>
      <c r="AM165" s="6">
        <v>1</v>
      </c>
      <c r="AO165" s="6">
        <v>52</v>
      </c>
      <c r="AP165" s="6">
        <v>155</v>
      </c>
      <c r="AQ165" s="6">
        <v>124</v>
      </c>
      <c r="AR165" s="6">
        <v>138</v>
      </c>
      <c r="AS165" s="6">
        <v>144</v>
      </c>
      <c r="AT165" s="6">
        <v>154</v>
      </c>
      <c r="AU165" s="6">
        <v>158</v>
      </c>
      <c r="AV165" s="6">
        <v>163</v>
      </c>
      <c r="AW165" s="6">
        <v>190</v>
      </c>
      <c r="AX165" s="6">
        <v>109</v>
      </c>
      <c r="AY165" s="6">
        <v>0</v>
      </c>
      <c r="AZ165" s="6">
        <v>0</v>
      </c>
      <c r="BA165" s="6">
        <v>0</v>
      </c>
      <c r="BB165" s="6">
        <v>0</v>
      </c>
      <c r="BC165" s="6">
        <v>0</v>
      </c>
      <c r="BD165" s="6">
        <v>0</v>
      </c>
      <c r="BE165" s="6">
        <v>95</v>
      </c>
      <c r="BF165" s="6">
        <v>10</v>
      </c>
      <c r="BG165" s="6">
        <v>4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90</v>
      </c>
      <c r="BN165" s="6" t="b">
        <v>0</v>
      </c>
      <c r="BO165" s="6" t="b">
        <v>0</v>
      </c>
      <c r="BP165" s="6" t="b">
        <v>0</v>
      </c>
      <c r="BQ165" s="6">
        <v>107</v>
      </c>
      <c r="BR165" s="6">
        <v>0</v>
      </c>
      <c r="BS165" s="6">
        <v>0</v>
      </c>
      <c r="BT165" s="6"/>
      <c r="BU165" s="6"/>
      <c r="BW165" s="6"/>
      <c r="BX165" s="6"/>
      <c r="BY165" s="6"/>
      <c r="BZ165" s="6">
        <v>242</v>
      </c>
      <c r="CA165" s="6" t="s">
        <v>723</v>
      </c>
      <c r="CB165" s="6" t="s">
        <v>716</v>
      </c>
      <c r="CD165" s="6" t="s">
        <v>196</v>
      </c>
      <c r="CE165" s="6">
        <v>19172883173</v>
      </c>
    </row>
    <row r="166" spans="1:83" x14ac:dyDescent="0.2">
      <c r="A166" s="6" t="s">
        <v>724</v>
      </c>
      <c r="B166" s="24">
        <v>45794.350486111114</v>
      </c>
      <c r="C166" s="6" t="s">
        <v>725</v>
      </c>
      <c r="D166" s="6" t="s">
        <v>726</v>
      </c>
      <c r="E166" s="6">
        <v>1971</v>
      </c>
      <c r="F166" s="6"/>
      <c r="G166" s="6">
        <v>1971</v>
      </c>
      <c r="H166" s="6">
        <v>0</v>
      </c>
      <c r="I166" s="6"/>
      <c r="J166" s="6">
        <v>0</v>
      </c>
      <c r="K166" s="6" t="b">
        <v>1</v>
      </c>
      <c r="L166" s="6">
        <v>123</v>
      </c>
      <c r="M166" s="6">
        <v>91</v>
      </c>
      <c r="N166" s="6"/>
      <c r="O166" s="6">
        <v>153</v>
      </c>
      <c r="P166" s="6"/>
      <c r="Q166" s="6"/>
      <c r="R166" s="6"/>
      <c r="S166" s="6"/>
      <c r="T166" s="6">
        <v>38.23518</v>
      </c>
      <c r="U166" s="6">
        <v>8</v>
      </c>
      <c r="X166" s="6"/>
      <c r="Y166" s="6">
        <v>54.820990000000002</v>
      </c>
      <c r="Z166" s="6">
        <v>32.95082</v>
      </c>
      <c r="AA166" s="6"/>
      <c r="AB166" s="6"/>
      <c r="AC166" s="6"/>
      <c r="AD166" s="6"/>
      <c r="AE166" s="6" t="b">
        <v>0</v>
      </c>
      <c r="AF166" s="6" t="b">
        <v>0</v>
      </c>
      <c r="AH166" s="6"/>
      <c r="AL166" s="6"/>
      <c r="AM166" s="6">
        <v>8</v>
      </c>
      <c r="AO166" s="6">
        <v>52</v>
      </c>
      <c r="AP166" s="6">
        <v>155</v>
      </c>
      <c r="AQ166" s="6">
        <v>130</v>
      </c>
      <c r="AR166" s="6">
        <v>138</v>
      </c>
      <c r="AS166" s="6">
        <v>146</v>
      </c>
      <c r="AT166" s="6">
        <v>154</v>
      </c>
      <c r="AU166" s="6">
        <v>158</v>
      </c>
      <c r="AV166" s="6">
        <v>163</v>
      </c>
      <c r="AW166" s="6">
        <v>171</v>
      </c>
      <c r="AX166" s="6">
        <v>1942</v>
      </c>
      <c r="AY166" s="6">
        <v>0</v>
      </c>
      <c r="AZ166" s="6">
        <v>0</v>
      </c>
      <c r="BA166" s="6">
        <v>0</v>
      </c>
      <c r="BB166" s="6">
        <v>0</v>
      </c>
      <c r="BC166" s="6">
        <v>0</v>
      </c>
      <c r="BD166" s="6">
        <v>0</v>
      </c>
      <c r="BE166" s="6"/>
      <c r="BF166" s="6"/>
      <c r="BG166" s="6"/>
      <c r="BH166" s="6"/>
      <c r="BI166" s="6"/>
      <c r="BJ166" s="6"/>
      <c r="BK166" s="6"/>
      <c r="BL166" s="6"/>
      <c r="BM166" s="6">
        <v>90</v>
      </c>
      <c r="BN166" s="6" t="b">
        <v>0</v>
      </c>
      <c r="BO166" s="6" t="b">
        <v>0</v>
      </c>
      <c r="BP166" s="6" t="b">
        <v>0</v>
      </c>
      <c r="BQ166" s="6">
        <v>1970</v>
      </c>
      <c r="BR166" s="6">
        <v>0</v>
      </c>
      <c r="BS166" s="6">
        <v>0</v>
      </c>
      <c r="BT166" s="6"/>
      <c r="BU166" s="6"/>
      <c r="BW166" s="6"/>
      <c r="BX166" s="6"/>
      <c r="BY166" s="6"/>
      <c r="BZ166" s="6"/>
      <c r="CA166" s="6" t="s">
        <v>727</v>
      </c>
      <c r="CB166" s="6" t="s">
        <v>728</v>
      </c>
      <c r="CD166" s="6" t="s">
        <v>196</v>
      </c>
      <c r="CE166" s="25">
        <v>19153109781</v>
      </c>
    </row>
    <row r="167" spans="1:83" x14ac:dyDescent="0.2">
      <c r="A167" s="6" t="s">
        <v>729</v>
      </c>
      <c r="B167" s="24">
        <v>45794.230439814812</v>
      </c>
      <c r="C167" s="6" t="s">
        <v>730</v>
      </c>
      <c r="D167" s="6" t="s">
        <v>208</v>
      </c>
      <c r="E167" s="6">
        <v>4831</v>
      </c>
      <c r="F167" s="6">
        <v>35739.879999999997</v>
      </c>
      <c r="G167" s="6">
        <v>4892</v>
      </c>
      <c r="H167" s="6">
        <v>429</v>
      </c>
      <c r="I167" s="6">
        <v>16.803999999999998</v>
      </c>
      <c r="J167" s="6">
        <v>7.3869999999999996</v>
      </c>
      <c r="K167" s="6" t="b">
        <v>1</v>
      </c>
      <c r="L167" s="6">
        <v>162</v>
      </c>
      <c r="M167" s="6">
        <v>140</v>
      </c>
      <c r="N167" s="6">
        <v>71.636780000000002</v>
      </c>
      <c r="O167" s="6">
        <v>775</v>
      </c>
      <c r="P167" s="6" t="b">
        <v>1</v>
      </c>
      <c r="Q167" s="6">
        <v>168</v>
      </c>
      <c r="R167" s="6">
        <v>186</v>
      </c>
      <c r="S167" s="6">
        <v>811725</v>
      </c>
      <c r="T167" s="6">
        <v>72.373540000000006</v>
      </c>
      <c r="U167" s="6">
        <v>70</v>
      </c>
      <c r="X167" s="6">
        <v>7.3980293000000001</v>
      </c>
      <c r="Y167" s="6">
        <v>54.820990000000002</v>
      </c>
      <c r="Z167" s="6">
        <v>32.95082</v>
      </c>
      <c r="AA167" s="6">
        <v>207</v>
      </c>
      <c r="AB167" s="6">
        <v>1.1071428000000001</v>
      </c>
      <c r="AC167" s="6">
        <v>1.3285714</v>
      </c>
      <c r="AD167" s="6" t="b">
        <v>1</v>
      </c>
      <c r="AE167" s="6" t="b">
        <v>0</v>
      </c>
      <c r="AF167" s="6" t="b">
        <v>0</v>
      </c>
      <c r="AH167" s="6">
        <v>257</v>
      </c>
      <c r="AL167" s="6">
        <v>70</v>
      </c>
      <c r="AM167" s="6">
        <v>100</v>
      </c>
      <c r="AO167" s="6">
        <v>52</v>
      </c>
      <c r="AP167" s="6">
        <v>155</v>
      </c>
      <c r="AQ167" s="6">
        <v>124</v>
      </c>
      <c r="AR167" s="6">
        <v>138</v>
      </c>
      <c r="AS167" s="6">
        <v>144</v>
      </c>
      <c r="AT167" s="6">
        <v>154</v>
      </c>
      <c r="AU167" s="6">
        <v>158</v>
      </c>
      <c r="AV167" s="6">
        <v>163</v>
      </c>
      <c r="AW167" s="6">
        <v>190</v>
      </c>
      <c r="AX167" s="6">
        <v>1243</v>
      </c>
      <c r="AY167" s="6">
        <v>976</v>
      </c>
      <c r="AZ167" s="6">
        <v>114</v>
      </c>
      <c r="BA167" s="6">
        <v>1169</v>
      </c>
      <c r="BB167" s="6">
        <v>599</v>
      </c>
      <c r="BC167" s="6">
        <v>730</v>
      </c>
      <c r="BD167" s="6">
        <v>0</v>
      </c>
      <c r="BE167" s="6">
        <v>2398</v>
      </c>
      <c r="BF167" s="6">
        <v>56</v>
      </c>
      <c r="BG167" s="6">
        <v>2349</v>
      </c>
      <c r="BH167" s="6">
        <v>28</v>
      </c>
      <c r="BI167" s="6">
        <v>0</v>
      </c>
      <c r="BJ167" s="6">
        <v>0</v>
      </c>
      <c r="BK167" s="6">
        <v>0</v>
      </c>
      <c r="BL167" s="6">
        <v>1720</v>
      </c>
      <c r="BM167" s="6">
        <v>90</v>
      </c>
      <c r="BN167" s="6" t="b">
        <v>0</v>
      </c>
      <c r="BO167" s="6" t="b">
        <v>0</v>
      </c>
      <c r="BP167" s="6" t="b">
        <v>0</v>
      </c>
      <c r="BQ167" s="6">
        <v>4835</v>
      </c>
      <c r="BR167" s="6">
        <v>1200</v>
      </c>
      <c r="BS167" s="6">
        <v>600</v>
      </c>
      <c r="BT167" s="6">
        <v>27</v>
      </c>
      <c r="BU167" s="6">
        <v>155</v>
      </c>
      <c r="BW167" s="6">
        <v>207</v>
      </c>
      <c r="BX167" s="6">
        <v>202</v>
      </c>
      <c r="BY167" s="6">
        <v>18338</v>
      </c>
      <c r="BZ167" s="6">
        <v>247</v>
      </c>
      <c r="CA167" s="6" t="s">
        <v>731</v>
      </c>
      <c r="CB167" s="6" t="s">
        <v>732</v>
      </c>
      <c r="CD167" s="6" t="s">
        <v>196</v>
      </c>
      <c r="CE167" s="25">
        <v>1.87549E+18</v>
      </c>
    </row>
    <row r="168" spans="1:83" x14ac:dyDescent="0.2">
      <c r="A168" s="6" t="s">
        <v>733</v>
      </c>
      <c r="B168" s="24">
        <v>45793.240706018521</v>
      </c>
      <c r="C168" s="6" t="s">
        <v>576</v>
      </c>
      <c r="D168" s="6" t="s">
        <v>193</v>
      </c>
      <c r="E168" s="6">
        <v>2893</v>
      </c>
      <c r="F168" s="6">
        <v>10102.24</v>
      </c>
      <c r="G168" s="6">
        <v>2894</v>
      </c>
      <c r="H168" s="6">
        <v>209</v>
      </c>
      <c r="I168" s="6">
        <v>9.8070000000000004</v>
      </c>
      <c r="J168" s="6">
        <v>3.4910000000000001</v>
      </c>
      <c r="K168" s="6" t="b">
        <v>1</v>
      </c>
      <c r="L168" s="6">
        <v>142</v>
      </c>
      <c r="M168" s="6">
        <v>120</v>
      </c>
      <c r="N168" s="6"/>
      <c r="O168" s="6">
        <v>455</v>
      </c>
      <c r="P168" s="6"/>
      <c r="Q168" s="6"/>
      <c r="R168" s="6"/>
      <c r="S168" s="6"/>
      <c r="T168" s="6">
        <v>64.081695999999994</v>
      </c>
      <c r="U168" s="6">
        <v>33</v>
      </c>
      <c r="X168" s="6">
        <v>3.4919600000000002</v>
      </c>
      <c r="Y168" s="6">
        <v>51.261505</v>
      </c>
      <c r="Z168" s="6">
        <v>32.058112999999999</v>
      </c>
      <c r="AA168" s="6">
        <v>204</v>
      </c>
      <c r="AB168" s="6"/>
      <c r="AC168" s="6"/>
      <c r="AD168" s="6"/>
      <c r="AE168" s="6" t="b">
        <v>0</v>
      </c>
      <c r="AF168" s="6" t="b">
        <v>0</v>
      </c>
      <c r="AH168" s="6">
        <v>257</v>
      </c>
      <c r="AL168" s="6"/>
      <c r="AM168" s="6">
        <v>33</v>
      </c>
      <c r="AO168" s="6">
        <v>52</v>
      </c>
      <c r="AP168" s="6">
        <v>155</v>
      </c>
      <c r="AQ168" s="6">
        <v>124</v>
      </c>
      <c r="AR168" s="6">
        <v>138</v>
      </c>
      <c r="AS168" s="6">
        <v>144</v>
      </c>
      <c r="AT168" s="6">
        <v>154</v>
      </c>
      <c r="AU168" s="6">
        <v>158</v>
      </c>
      <c r="AV168" s="6">
        <v>163</v>
      </c>
      <c r="AW168" s="6">
        <v>190</v>
      </c>
      <c r="AX168" s="6">
        <v>1813</v>
      </c>
      <c r="AY168" s="6">
        <v>1000</v>
      </c>
      <c r="AZ168" s="6">
        <v>82</v>
      </c>
      <c r="BA168" s="6">
        <v>0</v>
      </c>
      <c r="BB168" s="6">
        <v>0</v>
      </c>
      <c r="BC168" s="6">
        <v>0</v>
      </c>
      <c r="BD168" s="6">
        <v>0</v>
      </c>
      <c r="BE168" s="6"/>
      <c r="BF168" s="6"/>
      <c r="BG168" s="6"/>
      <c r="BH168" s="6"/>
      <c r="BI168" s="6"/>
      <c r="BJ168" s="6"/>
      <c r="BK168" s="6"/>
      <c r="BL168" s="6"/>
      <c r="BM168" s="6">
        <v>90</v>
      </c>
      <c r="BN168" s="6" t="b">
        <v>0</v>
      </c>
      <c r="BO168" s="6" t="b">
        <v>0</v>
      </c>
      <c r="BP168" s="6" t="b">
        <v>0</v>
      </c>
      <c r="BQ168" s="6">
        <v>2893</v>
      </c>
      <c r="BR168" s="6">
        <v>0</v>
      </c>
      <c r="BS168" s="6">
        <v>0</v>
      </c>
      <c r="BT168" s="6"/>
      <c r="BU168" s="6"/>
      <c r="BW168" s="6"/>
      <c r="BX168" s="6"/>
      <c r="BY168" s="6"/>
      <c r="BZ168" s="6"/>
      <c r="CA168" s="6" t="s">
        <v>734</v>
      </c>
      <c r="CB168" s="6" t="s">
        <v>732</v>
      </c>
      <c r="CD168" s="6" t="s">
        <v>196</v>
      </c>
      <c r="CE168" s="25">
        <v>19141976252</v>
      </c>
    </row>
    <row r="169" spans="1:83" x14ac:dyDescent="0.2">
      <c r="A169" s="6" t="s">
        <v>735</v>
      </c>
      <c r="B169" s="24">
        <v>45792.303229166668</v>
      </c>
      <c r="C169" s="6" t="s">
        <v>485</v>
      </c>
      <c r="D169" s="6" t="s">
        <v>208</v>
      </c>
      <c r="E169" s="6">
        <v>2419</v>
      </c>
      <c r="F169" s="6">
        <v>13236.69</v>
      </c>
      <c r="G169" s="6">
        <v>2424</v>
      </c>
      <c r="H169" s="6">
        <v>106</v>
      </c>
      <c r="I169" s="6">
        <v>17.332999999999998</v>
      </c>
      <c r="J169" s="6">
        <v>5.4619999999999997</v>
      </c>
      <c r="K169" s="6" t="b">
        <v>1</v>
      </c>
      <c r="L169" s="6">
        <v>132</v>
      </c>
      <c r="M169" s="6">
        <v>112</v>
      </c>
      <c r="N169" s="6">
        <v>76.357380000000006</v>
      </c>
      <c r="O169" s="6">
        <v>204</v>
      </c>
      <c r="P169" s="6" t="b">
        <v>1</v>
      </c>
      <c r="Q169" s="6">
        <v>88</v>
      </c>
      <c r="R169" s="6">
        <v>89</v>
      </c>
      <c r="S169" s="6">
        <v>214244</v>
      </c>
      <c r="T169" s="6">
        <v>34.630352000000002</v>
      </c>
      <c r="U169" s="6">
        <v>8</v>
      </c>
      <c r="X169" s="6">
        <v>5.4719677000000004</v>
      </c>
      <c r="Y169" s="6">
        <v>54.065834000000002</v>
      </c>
      <c r="Z169" s="6">
        <v>32.035420000000002</v>
      </c>
      <c r="AA169" s="6">
        <v>155</v>
      </c>
      <c r="AB169" s="6">
        <v>1.0113635999999999</v>
      </c>
      <c r="AC169" s="6">
        <v>0.79464287</v>
      </c>
      <c r="AD169" s="6" t="b">
        <v>1</v>
      </c>
      <c r="AE169" s="6" t="b">
        <v>0</v>
      </c>
      <c r="AF169" s="6" t="b">
        <v>0</v>
      </c>
      <c r="AH169" s="6">
        <v>257</v>
      </c>
      <c r="AL169" s="6">
        <v>8</v>
      </c>
      <c r="AM169" s="6">
        <v>22</v>
      </c>
      <c r="AO169" s="6">
        <v>52</v>
      </c>
      <c r="AP169" s="6">
        <v>155</v>
      </c>
      <c r="AQ169" s="6">
        <v>124</v>
      </c>
      <c r="AR169" s="6">
        <v>138</v>
      </c>
      <c r="AS169" s="6">
        <v>144</v>
      </c>
      <c r="AT169" s="6">
        <v>154</v>
      </c>
      <c r="AU169" s="6">
        <v>158</v>
      </c>
      <c r="AV169" s="6">
        <v>163</v>
      </c>
      <c r="AW169" s="6">
        <v>190</v>
      </c>
      <c r="AX169" s="6">
        <v>2279</v>
      </c>
      <c r="AY169" s="6">
        <v>140</v>
      </c>
      <c r="AZ169" s="6">
        <v>0</v>
      </c>
      <c r="BA169" s="6">
        <v>0</v>
      </c>
      <c r="BB169" s="6">
        <v>0</v>
      </c>
      <c r="BC169" s="6">
        <v>0</v>
      </c>
      <c r="BD169" s="6">
        <v>0</v>
      </c>
      <c r="BE169" s="6">
        <v>2419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90</v>
      </c>
      <c r="BN169" s="6" t="b">
        <v>0</v>
      </c>
      <c r="BO169" s="6" t="b">
        <v>0</v>
      </c>
      <c r="BP169" s="6" t="b">
        <v>0</v>
      </c>
      <c r="BQ169" s="6">
        <v>2423</v>
      </c>
      <c r="BR169" s="6">
        <v>0</v>
      </c>
      <c r="BS169" s="6">
        <v>0</v>
      </c>
      <c r="BT169" s="6"/>
      <c r="BU169" s="6"/>
      <c r="BW169" s="6">
        <v>87</v>
      </c>
      <c r="BX169" s="6">
        <v>86</v>
      </c>
      <c r="BY169" s="6">
        <v>6574</v>
      </c>
      <c r="BZ169" s="6">
        <v>131</v>
      </c>
      <c r="CA169" s="6" t="s">
        <v>736</v>
      </c>
      <c r="CB169" s="6" t="s">
        <v>732</v>
      </c>
      <c r="CD169" s="6" t="s">
        <v>196</v>
      </c>
      <c r="CE169" s="25">
        <v>1.8741E+18</v>
      </c>
    </row>
    <row r="170" spans="1:83" x14ac:dyDescent="0.2">
      <c r="A170" s="6" t="s">
        <v>737</v>
      </c>
      <c r="B170" s="24">
        <v>45792.241006944445</v>
      </c>
      <c r="C170" s="6" t="s">
        <v>738</v>
      </c>
      <c r="D170" s="6" t="s">
        <v>208</v>
      </c>
      <c r="E170" s="6">
        <v>4841</v>
      </c>
      <c r="F170" s="6">
        <v>33747.589999999997</v>
      </c>
      <c r="G170" s="6">
        <v>4843</v>
      </c>
      <c r="H170" s="6">
        <v>344</v>
      </c>
      <c r="I170" s="6">
        <v>14.313000000000001</v>
      </c>
      <c r="J170" s="6">
        <v>6.9660000000000002</v>
      </c>
      <c r="K170" s="6" t="b">
        <v>1</v>
      </c>
      <c r="L170" s="6">
        <v>162</v>
      </c>
      <c r="M170" s="6">
        <v>145</v>
      </c>
      <c r="N170" s="6">
        <v>74.42165</v>
      </c>
      <c r="O170" s="6">
        <v>883</v>
      </c>
      <c r="P170" s="6" t="b">
        <v>1</v>
      </c>
      <c r="Q170" s="6">
        <v>191</v>
      </c>
      <c r="R170" s="6">
        <v>200</v>
      </c>
      <c r="S170" s="6">
        <v>924232</v>
      </c>
      <c r="T170" s="6">
        <v>77.821014000000005</v>
      </c>
      <c r="U170" s="6">
        <v>81</v>
      </c>
      <c r="X170" s="6">
        <v>6.9712024000000001</v>
      </c>
      <c r="Y170" s="6">
        <v>54.065834000000002</v>
      </c>
      <c r="Z170" s="6">
        <v>32.035420000000002</v>
      </c>
      <c r="AA170" s="6">
        <v>204</v>
      </c>
      <c r="AB170" s="6">
        <v>1.0471204999999999</v>
      </c>
      <c r="AC170" s="6">
        <v>1.3793104</v>
      </c>
      <c r="AD170" s="6" t="b">
        <v>1</v>
      </c>
      <c r="AE170" s="6" t="b">
        <v>0</v>
      </c>
      <c r="AF170" s="6" t="b">
        <v>0</v>
      </c>
      <c r="AH170" s="6">
        <v>257</v>
      </c>
      <c r="AL170" s="6">
        <v>81</v>
      </c>
      <c r="AM170" s="6">
        <v>111</v>
      </c>
      <c r="AO170" s="6">
        <v>52</v>
      </c>
      <c r="AP170" s="6">
        <v>155</v>
      </c>
      <c r="AQ170" s="6">
        <v>124</v>
      </c>
      <c r="AR170" s="6">
        <v>138</v>
      </c>
      <c r="AS170" s="6">
        <v>144</v>
      </c>
      <c r="AT170" s="6">
        <v>154</v>
      </c>
      <c r="AU170" s="6">
        <v>158</v>
      </c>
      <c r="AV170" s="6">
        <v>163</v>
      </c>
      <c r="AW170" s="6">
        <v>190</v>
      </c>
      <c r="AX170" s="6">
        <v>472</v>
      </c>
      <c r="AY170" s="6">
        <v>737</v>
      </c>
      <c r="AZ170" s="6">
        <v>293</v>
      </c>
      <c r="BA170" s="6">
        <v>2154</v>
      </c>
      <c r="BB170" s="6">
        <v>783</v>
      </c>
      <c r="BC170" s="6">
        <v>402</v>
      </c>
      <c r="BD170" s="6">
        <v>0</v>
      </c>
      <c r="BE170" s="6">
        <v>555</v>
      </c>
      <c r="BF170" s="6">
        <v>1231</v>
      </c>
      <c r="BG170" s="6">
        <v>2930</v>
      </c>
      <c r="BH170" s="6">
        <v>74</v>
      </c>
      <c r="BI170" s="6">
        <v>51</v>
      </c>
      <c r="BJ170" s="6">
        <v>0</v>
      </c>
      <c r="BK170" s="6">
        <v>0</v>
      </c>
      <c r="BL170" s="6">
        <v>1943</v>
      </c>
      <c r="BM170" s="6">
        <v>90</v>
      </c>
      <c r="BN170" s="6" t="b">
        <v>0</v>
      </c>
      <c r="BO170" s="6" t="b">
        <v>0</v>
      </c>
      <c r="BP170" s="6" t="b">
        <v>0</v>
      </c>
      <c r="BQ170" s="6">
        <v>4842</v>
      </c>
      <c r="BR170" s="6">
        <v>1200</v>
      </c>
      <c r="BS170" s="6">
        <v>600</v>
      </c>
      <c r="BT170" s="6">
        <v>28</v>
      </c>
      <c r="BU170" s="6">
        <v>155</v>
      </c>
      <c r="BW170" s="6">
        <v>204</v>
      </c>
      <c r="BX170" s="6">
        <v>199</v>
      </c>
      <c r="BY170" s="6">
        <v>18532</v>
      </c>
      <c r="BZ170" s="6">
        <v>281</v>
      </c>
      <c r="CA170" s="6" t="s">
        <v>739</v>
      </c>
      <c r="CB170" s="6" t="s">
        <v>740</v>
      </c>
      <c r="CD170" s="6" t="s">
        <v>196</v>
      </c>
      <c r="CE170" s="25">
        <v>1.87405E+18</v>
      </c>
    </row>
    <row r="171" spans="1:83" x14ac:dyDescent="0.2">
      <c r="A171" s="6" t="s">
        <v>741</v>
      </c>
      <c r="B171" s="24">
        <v>45790.414606481485</v>
      </c>
      <c r="C171" s="6" t="s">
        <v>714</v>
      </c>
      <c r="D171" s="6" t="s">
        <v>208</v>
      </c>
      <c r="E171" s="6">
        <v>2424</v>
      </c>
      <c r="F171" s="6">
        <v>15860.83</v>
      </c>
      <c r="G171" s="6">
        <v>2426</v>
      </c>
      <c r="H171" s="6">
        <v>54</v>
      </c>
      <c r="I171" s="6">
        <v>11.776999999999999</v>
      </c>
      <c r="J171" s="6">
        <v>6.5350000000000001</v>
      </c>
      <c r="K171" s="6" t="b">
        <v>1</v>
      </c>
      <c r="L171" s="6">
        <v>136</v>
      </c>
      <c r="M171" s="6">
        <v>116</v>
      </c>
      <c r="N171" s="6">
        <v>78.140709999999999</v>
      </c>
      <c r="O171" s="6">
        <v>204</v>
      </c>
      <c r="P171" s="6" t="b">
        <v>1</v>
      </c>
      <c r="Q171" s="6">
        <v>88</v>
      </c>
      <c r="R171" s="6">
        <v>89</v>
      </c>
      <c r="S171" s="6">
        <v>214398</v>
      </c>
      <c r="T171" s="6">
        <v>34.630352000000002</v>
      </c>
      <c r="U171" s="6">
        <v>8</v>
      </c>
      <c r="X171" s="6">
        <v>6.5432467000000001</v>
      </c>
      <c r="Y171" s="6">
        <v>56.179962000000003</v>
      </c>
      <c r="Z171" s="6">
        <v>31.401672000000001</v>
      </c>
      <c r="AA171" s="6">
        <v>155</v>
      </c>
      <c r="AB171" s="6">
        <v>1.0113635999999999</v>
      </c>
      <c r="AC171" s="6">
        <v>0.76724135999999998</v>
      </c>
      <c r="AD171" s="6" t="b">
        <v>1</v>
      </c>
      <c r="AE171" s="6" t="b">
        <v>0</v>
      </c>
      <c r="AF171" s="6" t="b">
        <v>0</v>
      </c>
      <c r="AH171" s="6">
        <v>257</v>
      </c>
      <c r="AL171" s="6">
        <v>8</v>
      </c>
      <c r="AM171" s="6">
        <v>25</v>
      </c>
      <c r="AO171" s="6">
        <v>52</v>
      </c>
      <c r="AP171" s="6">
        <v>155</v>
      </c>
      <c r="AQ171" s="6">
        <v>124</v>
      </c>
      <c r="AR171" s="6">
        <v>138</v>
      </c>
      <c r="AS171" s="6">
        <v>144</v>
      </c>
      <c r="AT171" s="6">
        <v>154</v>
      </c>
      <c r="AU171" s="6">
        <v>158</v>
      </c>
      <c r="AV171" s="6">
        <v>163</v>
      </c>
      <c r="AW171" s="6">
        <v>190</v>
      </c>
      <c r="AX171" s="6">
        <v>2230</v>
      </c>
      <c r="AY171" s="6">
        <v>194</v>
      </c>
      <c r="AZ171" s="6"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2421</v>
      </c>
      <c r="BF171" s="6">
        <v>3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90</v>
      </c>
      <c r="BN171" s="6" t="b">
        <v>0</v>
      </c>
      <c r="BO171" s="6" t="b">
        <v>0</v>
      </c>
      <c r="BP171" s="6" t="b">
        <v>0</v>
      </c>
      <c r="BQ171" s="6">
        <v>2425</v>
      </c>
      <c r="BR171" s="6">
        <v>0</v>
      </c>
      <c r="BS171" s="6">
        <v>0</v>
      </c>
      <c r="BW171" s="6">
        <v>87</v>
      </c>
      <c r="BX171" s="6">
        <v>86</v>
      </c>
      <c r="BY171" s="6">
        <v>6574</v>
      </c>
      <c r="BZ171" s="6">
        <v>190</v>
      </c>
      <c r="CA171" s="6" t="s">
        <v>742</v>
      </c>
      <c r="CB171" s="6" t="s">
        <v>740</v>
      </c>
      <c r="CD171" s="6" t="s">
        <v>196</v>
      </c>
      <c r="CE171" s="25">
        <v>1.87273E+18</v>
      </c>
    </row>
    <row r="172" spans="1:83" x14ac:dyDescent="0.2">
      <c r="A172" s="6" t="s">
        <v>743</v>
      </c>
      <c r="B172" s="24">
        <v>45790.234907407408</v>
      </c>
      <c r="C172" s="6" t="s">
        <v>744</v>
      </c>
      <c r="D172" s="6" t="s">
        <v>220</v>
      </c>
      <c r="E172" s="6">
        <v>12727</v>
      </c>
      <c r="F172" s="6">
        <v>73541.14</v>
      </c>
      <c r="G172" s="6">
        <v>13201</v>
      </c>
      <c r="H172" s="6">
        <v>962</v>
      </c>
      <c r="I172" s="6">
        <v>18.064</v>
      </c>
      <c r="J172" s="6">
        <v>5.7690000000000001</v>
      </c>
      <c r="K172" s="6" t="b">
        <v>1</v>
      </c>
      <c r="L172" s="6">
        <v>150</v>
      </c>
      <c r="M172" s="6">
        <v>119</v>
      </c>
      <c r="N172" s="6"/>
      <c r="O172" s="6">
        <v>1998</v>
      </c>
      <c r="P172" s="6"/>
      <c r="Q172" s="6"/>
      <c r="R172" s="6"/>
      <c r="S172" s="6"/>
      <c r="T172" s="6">
        <v>67.952560000000005</v>
      </c>
      <c r="U172" s="6">
        <v>164</v>
      </c>
      <c r="X172" s="6">
        <v>5.7783559999999996</v>
      </c>
      <c r="Y172" s="6">
        <v>56.179962000000003</v>
      </c>
      <c r="Z172" s="6">
        <v>31.401672000000001</v>
      </c>
      <c r="AA172" s="6">
        <v>155</v>
      </c>
      <c r="AB172" s="6"/>
      <c r="AC172" s="6"/>
      <c r="AD172" s="6"/>
      <c r="AE172" s="6" t="b">
        <v>0</v>
      </c>
      <c r="AF172" s="6" t="b">
        <v>0</v>
      </c>
      <c r="AH172" s="6">
        <v>257</v>
      </c>
      <c r="AL172" s="6"/>
      <c r="AM172" s="6">
        <v>164</v>
      </c>
      <c r="AO172" s="6">
        <v>52</v>
      </c>
      <c r="AP172" s="6">
        <v>155</v>
      </c>
      <c r="AQ172" s="6">
        <v>124</v>
      </c>
      <c r="AR172" s="6">
        <v>138</v>
      </c>
      <c r="AS172" s="6">
        <v>144</v>
      </c>
      <c r="AT172" s="6">
        <v>154</v>
      </c>
      <c r="AU172" s="6">
        <v>158</v>
      </c>
      <c r="AV172" s="6">
        <v>163</v>
      </c>
      <c r="AW172" s="6">
        <v>190</v>
      </c>
      <c r="AX172" s="6">
        <v>4790</v>
      </c>
      <c r="AY172" s="6">
        <v>7208</v>
      </c>
      <c r="AZ172" s="6">
        <v>500</v>
      </c>
      <c r="BA172" s="6">
        <v>250</v>
      </c>
      <c r="BB172" s="6">
        <v>0</v>
      </c>
      <c r="BC172" s="6">
        <v>0</v>
      </c>
      <c r="BD172" s="6">
        <v>0</v>
      </c>
      <c r="BE172" s="6"/>
      <c r="BF172" s="6"/>
      <c r="BG172" s="6"/>
      <c r="BH172" s="6"/>
      <c r="BI172" s="6"/>
      <c r="BJ172" s="6"/>
      <c r="BK172" s="6"/>
      <c r="BL172" s="6"/>
      <c r="BM172" s="6">
        <v>90</v>
      </c>
      <c r="BN172" s="6" t="b">
        <v>0</v>
      </c>
      <c r="BO172" s="6" t="b">
        <v>0</v>
      </c>
      <c r="BP172" s="6" t="b">
        <v>0</v>
      </c>
      <c r="BQ172" s="6">
        <v>12786</v>
      </c>
      <c r="BR172" s="6">
        <v>1200</v>
      </c>
      <c r="BS172" s="6">
        <v>600</v>
      </c>
      <c r="BW172" s="6"/>
      <c r="BX172" s="6"/>
      <c r="BY172" s="6"/>
      <c r="BZ172" s="6"/>
      <c r="CA172" s="6" t="s">
        <v>745</v>
      </c>
      <c r="CB172" s="6" t="s">
        <v>740</v>
      </c>
      <c r="CD172" s="6" t="s">
        <v>196</v>
      </c>
      <c r="CE172" s="25">
        <v>19112492791</v>
      </c>
    </row>
    <row r="173" spans="1:83" x14ac:dyDescent="0.2">
      <c r="A173" s="6" t="s">
        <v>746</v>
      </c>
      <c r="B173" s="24">
        <v>45789.338391203702</v>
      </c>
      <c r="C173" s="6" t="s">
        <v>649</v>
      </c>
      <c r="D173" s="6" t="s">
        <v>208</v>
      </c>
      <c r="E173" s="6">
        <v>2404</v>
      </c>
      <c r="F173" s="6">
        <v>10627.87</v>
      </c>
      <c r="G173" s="6">
        <v>2406</v>
      </c>
      <c r="H173" s="6">
        <v>97</v>
      </c>
      <c r="I173" s="6">
        <v>13.766</v>
      </c>
      <c r="J173" s="6">
        <v>4.415</v>
      </c>
      <c r="K173" s="6" t="b">
        <v>1</v>
      </c>
      <c r="L173" s="6">
        <v>136</v>
      </c>
      <c r="M173" s="6">
        <v>114</v>
      </c>
      <c r="N173" s="6">
        <v>75.550560000000004</v>
      </c>
      <c r="O173" s="6">
        <v>205</v>
      </c>
      <c r="P173" s="6" t="b">
        <v>1</v>
      </c>
      <c r="Q173" s="6">
        <v>90</v>
      </c>
      <c r="R173" s="6">
        <v>89</v>
      </c>
      <c r="S173" s="6">
        <v>215315</v>
      </c>
      <c r="T173" s="6">
        <v>34.630352000000002</v>
      </c>
      <c r="U173" s="6">
        <v>8</v>
      </c>
      <c r="X173" s="6">
        <v>4.4209110000000003</v>
      </c>
      <c r="Y173" s="6">
        <v>38.394060000000003</v>
      </c>
      <c r="Z173" s="6">
        <v>28.013923999999999</v>
      </c>
      <c r="AA173" s="6">
        <v>155</v>
      </c>
      <c r="AB173" s="6">
        <v>0.98888885999999998</v>
      </c>
      <c r="AC173" s="6">
        <v>0.78070176000000002</v>
      </c>
      <c r="AD173" s="6" t="b">
        <v>1</v>
      </c>
      <c r="AE173" s="6" t="b">
        <v>0</v>
      </c>
      <c r="AF173" s="6" t="b">
        <v>0</v>
      </c>
      <c r="AH173" s="6">
        <v>257</v>
      </c>
      <c r="AL173" s="6">
        <v>8</v>
      </c>
      <c r="AM173" s="6">
        <v>23</v>
      </c>
      <c r="AO173" s="6">
        <v>52</v>
      </c>
      <c r="AP173" s="6">
        <v>155</v>
      </c>
      <c r="AQ173" s="6">
        <v>124</v>
      </c>
      <c r="AR173" s="6">
        <v>138</v>
      </c>
      <c r="AS173" s="6">
        <v>144</v>
      </c>
      <c r="AT173" s="6">
        <v>154</v>
      </c>
      <c r="AU173" s="6">
        <v>158</v>
      </c>
      <c r="AV173" s="6">
        <v>163</v>
      </c>
      <c r="AW173" s="6">
        <v>190</v>
      </c>
      <c r="AX173" s="6">
        <v>2210</v>
      </c>
      <c r="AY173" s="6">
        <v>194</v>
      </c>
      <c r="AZ173" s="6"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2404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90</v>
      </c>
      <c r="BN173" s="6" t="b">
        <v>0</v>
      </c>
      <c r="BO173" s="6" t="b">
        <v>0</v>
      </c>
      <c r="BP173" s="6" t="b">
        <v>0</v>
      </c>
      <c r="BQ173" s="6">
        <v>2405</v>
      </c>
      <c r="BR173" s="6">
        <v>0</v>
      </c>
      <c r="BS173" s="6">
        <v>0</v>
      </c>
      <c r="BW173" s="6">
        <v>87</v>
      </c>
      <c r="BX173" s="6">
        <v>86</v>
      </c>
      <c r="BY173" s="6">
        <v>6574</v>
      </c>
      <c r="BZ173" s="6">
        <v>136</v>
      </c>
      <c r="CA173" s="6" t="s">
        <v>747</v>
      </c>
      <c r="CB173" s="6" t="s">
        <v>748</v>
      </c>
      <c r="CD173" s="6" t="s">
        <v>196</v>
      </c>
      <c r="CE173" s="25">
        <v>1.87195E+18</v>
      </c>
    </row>
    <row r="174" spans="1:83" x14ac:dyDescent="0.2">
      <c r="A174" s="6" t="s">
        <v>749</v>
      </c>
      <c r="B174" s="24">
        <v>45789.237696759257</v>
      </c>
      <c r="C174" s="6" t="s">
        <v>750</v>
      </c>
      <c r="D174" s="6" t="s">
        <v>193</v>
      </c>
      <c r="E174" s="6">
        <v>9858</v>
      </c>
      <c r="F174" s="6">
        <v>46881.599999999999</v>
      </c>
      <c r="G174" s="6">
        <v>10130</v>
      </c>
      <c r="H174" s="6">
        <v>566</v>
      </c>
      <c r="I174" s="6">
        <v>12.250999999999999</v>
      </c>
      <c r="J174" s="6">
        <v>4.7469999999999999</v>
      </c>
      <c r="K174" s="6" t="b">
        <v>1</v>
      </c>
      <c r="L174" s="6">
        <v>145</v>
      </c>
      <c r="M174" s="6">
        <v>122</v>
      </c>
      <c r="N174" s="6"/>
      <c r="O174" s="6">
        <v>1490</v>
      </c>
      <c r="P174" s="6"/>
      <c r="Q174" s="6"/>
      <c r="R174" s="6"/>
      <c r="S174" s="6"/>
      <c r="T174" s="6">
        <v>64.612290000000002</v>
      </c>
      <c r="U174" s="6">
        <v>116</v>
      </c>
      <c r="X174" s="6">
        <v>4.7556909999999997</v>
      </c>
      <c r="Y174" s="6">
        <v>38.394060000000003</v>
      </c>
      <c r="Z174" s="6">
        <v>28.013923999999999</v>
      </c>
      <c r="AA174" s="6">
        <v>155</v>
      </c>
      <c r="AB174" s="6"/>
      <c r="AC174" s="6"/>
      <c r="AD174" s="6"/>
      <c r="AE174" s="6" t="b">
        <v>0</v>
      </c>
      <c r="AF174" s="6" t="b">
        <v>0</v>
      </c>
      <c r="AH174" s="6">
        <v>257</v>
      </c>
      <c r="AL174" s="6"/>
      <c r="AM174" s="6">
        <v>116</v>
      </c>
      <c r="AO174" s="6">
        <v>52</v>
      </c>
      <c r="AP174" s="6">
        <v>155</v>
      </c>
      <c r="AQ174" s="6">
        <v>124</v>
      </c>
      <c r="AR174" s="6">
        <v>138</v>
      </c>
      <c r="AS174" s="6">
        <v>144</v>
      </c>
      <c r="AT174" s="6">
        <v>154</v>
      </c>
      <c r="AU174" s="6">
        <v>158</v>
      </c>
      <c r="AV174" s="6">
        <v>163</v>
      </c>
      <c r="AW174" s="6">
        <v>190</v>
      </c>
      <c r="AX174" s="6">
        <v>5918</v>
      </c>
      <c r="AY174" s="6">
        <v>3743</v>
      </c>
      <c r="AZ174" s="6">
        <v>211</v>
      </c>
      <c r="BA174" s="6">
        <v>3</v>
      </c>
      <c r="BB174" s="6">
        <v>0</v>
      </c>
      <c r="BC174" s="6">
        <v>0</v>
      </c>
      <c r="BD174" s="6">
        <v>0</v>
      </c>
      <c r="BE174" s="6"/>
      <c r="BF174" s="6"/>
      <c r="BG174" s="6"/>
      <c r="BH174" s="6"/>
      <c r="BI174" s="6"/>
      <c r="BJ174" s="6"/>
      <c r="BK174" s="6"/>
      <c r="BL174" s="6"/>
      <c r="BM174" s="6">
        <v>90</v>
      </c>
      <c r="BN174" s="6" t="b">
        <v>0</v>
      </c>
      <c r="BO174" s="6" t="b">
        <v>0</v>
      </c>
      <c r="BP174" s="6" t="b">
        <v>0</v>
      </c>
      <c r="BQ174" s="6">
        <v>10003</v>
      </c>
      <c r="BR174" s="6">
        <v>1200</v>
      </c>
      <c r="BS174" s="6">
        <v>600</v>
      </c>
      <c r="BW174" s="6"/>
      <c r="BX174" s="6"/>
      <c r="BY174" s="6"/>
      <c r="BZ174" s="6"/>
      <c r="CA174" s="6" t="s">
        <v>751</v>
      </c>
      <c r="CB174" s="6" t="s">
        <v>748</v>
      </c>
      <c r="CD174" s="6" t="s">
        <v>196</v>
      </c>
      <c r="CE174" s="25">
        <v>19101537618</v>
      </c>
    </row>
    <row r="175" spans="1:83" x14ac:dyDescent="0.2">
      <c r="A175" s="6" t="s">
        <v>752</v>
      </c>
      <c r="B175" s="24">
        <v>45786.304351851853</v>
      </c>
      <c r="C175" s="6" t="s">
        <v>507</v>
      </c>
      <c r="D175" s="6" t="s">
        <v>208</v>
      </c>
      <c r="E175" s="6">
        <v>1988</v>
      </c>
      <c r="F175" s="6">
        <v>8759.5499999999993</v>
      </c>
      <c r="G175" s="6">
        <v>1988</v>
      </c>
      <c r="H175" s="6">
        <v>113</v>
      </c>
      <c r="I175" s="6">
        <v>11.913</v>
      </c>
      <c r="J175" s="6">
        <v>4.4029999999999996</v>
      </c>
      <c r="K175" s="6" t="b">
        <v>1</v>
      </c>
      <c r="L175" s="6">
        <v>125</v>
      </c>
      <c r="M175" s="6">
        <v>105</v>
      </c>
      <c r="N175" s="6">
        <v>74.367620000000002</v>
      </c>
      <c r="O175" s="6">
        <v>169</v>
      </c>
      <c r="P175" s="6" t="b">
        <v>1</v>
      </c>
      <c r="Q175" s="6">
        <v>89</v>
      </c>
      <c r="R175" s="6">
        <v>89</v>
      </c>
      <c r="S175" s="6">
        <v>177408</v>
      </c>
      <c r="T175" s="6">
        <v>34.630352000000002</v>
      </c>
      <c r="U175" s="6">
        <v>7</v>
      </c>
      <c r="X175" s="6">
        <v>4.4062123</v>
      </c>
      <c r="Y175" s="6">
        <v>33.597797</v>
      </c>
      <c r="Z175" s="6">
        <v>26.954585999999999</v>
      </c>
      <c r="AA175" s="6">
        <v>155</v>
      </c>
      <c r="AB175" s="6">
        <v>1</v>
      </c>
      <c r="AC175" s="6">
        <v>0.84761905999999998</v>
      </c>
      <c r="AD175" s="6" t="b">
        <v>1</v>
      </c>
      <c r="AE175" s="6" t="b">
        <v>0</v>
      </c>
      <c r="AF175" s="6" t="b">
        <v>0</v>
      </c>
      <c r="AH175" s="6">
        <v>257</v>
      </c>
      <c r="AL175" s="6">
        <v>7</v>
      </c>
      <c r="AM175" s="6">
        <v>14</v>
      </c>
      <c r="AO175" s="6">
        <v>52</v>
      </c>
      <c r="AP175" s="6">
        <v>155</v>
      </c>
      <c r="AQ175" s="6">
        <v>124</v>
      </c>
      <c r="AR175" s="6">
        <v>138</v>
      </c>
      <c r="AS175" s="6">
        <v>144</v>
      </c>
      <c r="AT175" s="6">
        <v>154</v>
      </c>
      <c r="AU175" s="6">
        <v>158</v>
      </c>
      <c r="AV175" s="6">
        <v>163</v>
      </c>
      <c r="AW175" s="6">
        <v>190</v>
      </c>
      <c r="AX175" s="6">
        <v>1972</v>
      </c>
      <c r="AY175" s="6">
        <v>16</v>
      </c>
      <c r="AZ175" s="6"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1988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90</v>
      </c>
      <c r="BN175" s="6" t="b">
        <v>0</v>
      </c>
      <c r="BO175" s="6" t="b">
        <v>0</v>
      </c>
      <c r="BP175" s="6" t="b">
        <v>0</v>
      </c>
      <c r="BQ175" s="6">
        <v>1987</v>
      </c>
      <c r="BR175" s="6">
        <v>0</v>
      </c>
      <c r="BS175" s="6">
        <v>0</v>
      </c>
      <c r="BW175" s="6">
        <v>87</v>
      </c>
      <c r="BX175" s="6">
        <v>86</v>
      </c>
      <c r="BY175" s="6">
        <v>6532</v>
      </c>
      <c r="BZ175" s="6">
        <v>128</v>
      </c>
      <c r="CA175" s="6" t="s">
        <v>753</v>
      </c>
      <c r="CB175" s="6" t="s">
        <v>748</v>
      </c>
      <c r="CD175" s="6" t="s">
        <v>196</v>
      </c>
      <c r="CE175" s="25">
        <v>1.86975E+18</v>
      </c>
    </row>
    <row r="176" spans="1:83" x14ac:dyDescent="0.2">
      <c r="A176" s="6" t="s">
        <v>754</v>
      </c>
      <c r="B176" s="24">
        <v>45786.238252314812</v>
      </c>
      <c r="C176" s="6" t="s">
        <v>755</v>
      </c>
      <c r="D176" s="6" t="s">
        <v>193</v>
      </c>
      <c r="E176" s="6">
        <v>5312</v>
      </c>
      <c r="F176" s="6">
        <v>21664.99</v>
      </c>
      <c r="G176" s="6">
        <v>5692</v>
      </c>
      <c r="H176" s="6">
        <v>170</v>
      </c>
      <c r="I176" s="6">
        <v>11.645</v>
      </c>
      <c r="J176" s="6">
        <v>4.07</v>
      </c>
      <c r="K176" s="6" t="b">
        <v>1</v>
      </c>
      <c r="L176" s="6">
        <v>129</v>
      </c>
      <c r="M176" s="6">
        <v>109</v>
      </c>
      <c r="N176" s="6"/>
      <c r="O176" s="6">
        <v>670</v>
      </c>
      <c r="P176" s="6"/>
      <c r="Q176" s="6"/>
      <c r="R176" s="6"/>
      <c r="S176" s="6"/>
      <c r="T176" s="6">
        <v>54.555701999999997</v>
      </c>
      <c r="U176" s="6">
        <v>44</v>
      </c>
      <c r="X176" s="6">
        <v>4.0785</v>
      </c>
      <c r="Y176" s="6">
        <v>33.597797</v>
      </c>
      <c r="Z176" s="6">
        <v>26.954585999999999</v>
      </c>
      <c r="AA176" s="6">
        <v>155</v>
      </c>
      <c r="AB176" s="6"/>
      <c r="AC176" s="6"/>
      <c r="AD176" s="6"/>
      <c r="AE176" s="6" t="b">
        <v>0</v>
      </c>
      <c r="AF176" s="6" t="b">
        <v>0</v>
      </c>
      <c r="AH176" s="6">
        <v>257</v>
      </c>
      <c r="AL176" s="6"/>
      <c r="AM176" s="6">
        <v>44</v>
      </c>
      <c r="AO176" s="6">
        <v>52</v>
      </c>
      <c r="AP176" s="6">
        <v>155</v>
      </c>
      <c r="AQ176" s="6">
        <v>124</v>
      </c>
      <c r="AR176" s="6">
        <v>138</v>
      </c>
      <c r="AS176" s="6">
        <v>144</v>
      </c>
      <c r="AT176" s="6">
        <v>154</v>
      </c>
      <c r="AU176" s="6">
        <v>158</v>
      </c>
      <c r="AV176" s="6">
        <v>163</v>
      </c>
      <c r="AW176" s="6">
        <v>190</v>
      </c>
      <c r="AX176" s="6">
        <v>5249</v>
      </c>
      <c r="AY176" s="6">
        <v>73</v>
      </c>
      <c r="AZ176" s="6">
        <v>0</v>
      </c>
      <c r="BA176" s="6">
        <v>0</v>
      </c>
      <c r="BB176" s="6">
        <v>0</v>
      </c>
      <c r="BC176" s="6">
        <v>0</v>
      </c>
      <c r="BD176" s="6">
        <v>0</v>
      </c>
      <c r="BE176" s="6"/>
      <c r="BF176" s="6"/>
      <c r="BG176" s="6"/>
      <c r="BH176" s="6"/>
      <c r="BI176" s="6"/>
      <c r="BJ176" s="6"/>
      <c r="BK176" s="6"/>
      <c r="BL176" s="6"/>
      <c r="BM176" s="6">
        <v>90</v>
      </c>
      <c r="BN176" s="6" t="b">
        <v>0</v>
      </c>
      <c r="BO176" s="6" t="b">
        <v>0</v>
      </c>
      <c r="BP176" s="6" t="b">
        <v>0</v>
      </c>
      <c r="BQ176" s="6">
        <v>5322</v>
      </c>
      <c r="BR176" s="6">
        <v>1200</v>
      </c>
      <c r="BS176" s="6">
        <v>600</v>
      </c>
      <c r="BW176" s="6"/>
      <c r="BX176" s="6"/>
      <c r="BY176" s="6"/>
      <c r="BZ176" s="6"/>
      <c r="CA176" s="6" t="s">
        <v>756</v>
      </c>
      <c r="CB176" s="6" t="s">
        <v>757</v>
      </c>
      <c r="CD176" s="6" t="s">
        <v>196</v>
      </c>
      <c r="CE176" s="25">
        <v>19071509111</v>
      </c>
    </row>
    <row r="177" spans="1:83" x14ac:dyDescent="0.2">
      <c r="A177" s="6" t="s">
        <v>758</v>
      </c>
      <c r="B177" s="24">
        <v>45784.283217592594</v>
      </c>
      <c r="C177" s="6" t="s">
        <v>598</v>
      </c>
      <c r="D177" s="6" t="s">
        <v>208</v>
      </c>
      <c r="E177" s="6">
        <v>2419</v>
      </c>
      <c r="F177" s="6">
        <v>16673.2</v>
      </c>
      <c r="G177" s="6">
        <v>2421</v>
      </c>
      <c r="H177" s="6">
        <v>26</v>
      </c>
      <c r="I177" s="6">
        <v>9.07</v>
      </c>
      <c r="J177" s="6">
        <v>6.8840000000000003</v>
      </c>
      <c r="K177" s="6" t="b">
        <v>1</v>
      </c>
      <c r="L177" s="6">
        <v>124</v>
      </c>
      <c r="M177" s="6">
        <v>104</v>
      </c>
      <c r="N177" s="6">
        <v>76.447959999999995</v>
      </c>
      <c r="O177" s="6">
        <v>205</v>
      </c>
      <c r="P177" s="6" t="b">
        <v>1</v>
      </c>
      <c r="Q177" s="6">
        <v>89</v>
      </c>
      <c r="R177" s="6">
        <v>89</v>
      </c>
      <c r="S177" s="6">
        <v>214731</v>
      </c>
      <c r="T177" s="6">
        <v>34.630352000000002</v>
      </c>
      <c r="U177" s="6">
        <v>8</v>
      </c>
      <c r="X177" s="6">
        <v>6.8925999999999998</v>
      </c>
      <c r="Y177" s="6">
        <v>35.674489999999999</v>
      </c>
      <c r="Z177" s="6">
        <v>27.010722999999999</v>
      </c>
      <c r="AA177" s="6">
        <v>155</v>
      </c>
      <c r="AB177" s="6">
        <v>1</v>
      </c>
      <c r="AC177" s="6">
        <v>0.85576920000000001</v>
      </c>
      <c r="AD177" s="6" t="b">
        <v>1</v>
      </c>
      <c r="AE177" s="6" t="b">
        <v>0</v>
      </c>
      <c r="AF177" s="6" t="b">
        <v>0</v>
      </c>
      <c r="AH177" s="6">
        <v>257</v>
      </c>
      <c r="AL177" s="6">
        <v>8</v>
      </c>
      <c r="AM177" s="6">
        <v>17</v>
      </c>
      <c r="AO177" s="6">
        <v>52</v>
      </c>
      <c r="AP177" s="6">
        <v>155</v>
      </c>
      <c r="AQ177" s="6">
        <v>124</v>
      </c>
      <c r="AR177" s="6">
        <v>138</v>
      </c>
      <c r="AS177" s="6">
        <v>144</v>
      </c>
      <c r="AT177" s="6">
        <v>154</v>
      </c>
      <c r="AU177" s="6">
        <v>158</v>
      </c>
      <c r="AV177" s="6">
        <v>163</v>
      </c>
      <c r="AW177" s="6">
        <v>190</v>
      </c>
      <c r="AX177" s="6">
        <v>2419</v>
      </c>
      <c r="AY177" s="6">
        <v>0</v>
      </c>
      <c r="AZ177" s="6">
        <v>0</v>
      </c>
      <c r="BA177" s="6">
        <v>0</v>
      </c>
      <c r="BB177" s="6">
        <v>0</v>
      </c>
      <c r="BC177" s="6">
        <v>0</v>
      </c>
      <c r="BD177" s="6">
        <v>0</v>
      </c>
      <c r="BE177" s="6">
        <v>2419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90</v>
      </c>
      <c r="BN177" s="6" t="b">
        <v>0</v>
      </c>
      <c r="BO177" s="6" t="b">
        <v>0</v>
      </c>
      <c r="BP177" s="6" t="b">
        <v>0</v>
      </c>
      <c r="BQ177" s="6">
        <v>2420</v>
      </c>
      <c r="BR177" s="6">
        <v>0</v>
      </c>
      <c r="BS177" s="6">
        <v>0</v>
      </c>
      <c r="BW177" s="6">
        <v>87</v>
      </c>
      <c r="BX177" s="6">
        <v>86</v>
      </c>
      <c r="BY177" s="6">
        <v>6574</v>
      </c>
      <c r="BZ177" s="6">
        <v>175</v>
      </c>
      <c r="CA177" s="6" t="s">
        <v>759</v>
      </c>
      <c r="CB177" s="6" t="s">
        <v>757</v>
      </c>
      <c r="CD177" s="6" t="s">
        <v>196</v>
      </c>
      <c r="CE177" s="25">
        <v>1.86829E+18</v>
      </c>
    </row>
    <row r="178" spans="1:83" x14ac:dyDescent="0.2">
      <c r="A178" s="6" t="s">
        <v>760</v>
      </c>
      <c r="B178" s="24">
        <v>45784.236180555556</v>
      </c>
      <c r="C178" s="6" t="s">
        <v>761</v>
      </c>
      <c r="D178" s="6" t="s">
        <v>193</v>
      </c>
      <c r="E178" s="6">
        <v>5342</v>
      </c>
      <c r="F178" s="6">
        <v>21709.95</v>
      </c>
      <c r="G178" s="6">
        <v>5732</v>
      </c>
      <c r="H178" s="6">
        <v>167</v>
      </c>
      <c r="I178" s="6">
        <v>11.869</v>
      </c>
      <c r="J178" s="6">
        <v>4.0540000000000003</v>
      </c>
      <c r="K178" s="6" t="b">
        <v>1</v>
      </c>
      <c r="L178" s="6">
        <v>131</v>
      </c>
      <c r="M178" s="6">
        <v>112</v>
      </c>
      <c r="O178" s="6">
        <v>727</v>
      </c>
      <c r="T178" s="6">
        <v>57.049213000000002</v>
      </c>
      <c r="U178" s="6">
        <v>49</v>
      </c>
      <c r="X178" s="6">
        <v>4.0640115999999997</v>
      </c>
      <c r="Y178" s="6">
        <v>35.674489999999999</v>
      </c>
      <c r="Z178" s="6">
        <v>27.010722999999999</v>
      </c>
      <c r="AA178" s="6">
        <v>155</v>
      </c>
      <c r="AE178" s="6" t="b">
        <v>0</v>
      </c>
      <c r="AF178" s="6" t="b">
        <v>0</v>
      </c>
      <c r="AH178" s="6">
        <v>257</v>
      </c>
      <c r="AM178" s="6">
        <v>49</v>
      </c>
      <c r="AO178" s="6">
        <v>52</v>
      </c>
      <c r="AP178" s="6">
        <v>155</v>
      </c>
      <c r="AQ178" s="6">
        <v>124</v>
      </c>
      <c r="AR178" s="6">
        <v>138</v>
      </c>
      <c r="AS178" s="6">
        <v>144</v>
      </c>
      <c r="AT178" s="6">
        <v>154</v>
      </c>
      <c r="AU178" s="6">
        <v>158</v>
      </c>
      <c r="AV178" s="6">
        <v>163</v>
      </c>
      <c r="AW178" s="6">
        <v>190</v>
      </c>
      <c r="AX178" s="6">
        <v>5174</v>
      </c>
      <c r="AY178" s="6">
        <v>182</v>
      </c>
      <c r="AZ178" s="6">
        <v>0</v>
      </c>
      <c r="BA178" s="6">
        <v>0</v>
      </c>
      <c r="BB178" s="6">
        <v>0</v>
      </c>
      <c r="BC178" s="6">
        <v>0</v>
      </c>
      <c r="BD178" s="6">
        <v>0</v>
      </c>
      <c r="BM178" s="6">
        <v>90</v>
      </c>
      <c r="BN178" s="6" t="b">
        <v>0</v>
      </c>
      <c r="BO178" s="6" t="b">
        <v>0</v>
      </c>
      <c r="BP178" s="6" t="b">
        <v>0</v>
      </c>
      <c r="BQ178" s="6">
        <v>5420</v>
      </c>
      <c r="BR178" s="6">
        <v>1200</v>
      </c>
      <c r="BS178" s="6">
        <v>600</v>
      </c>
      <c r="CA178" s="6" t="s">
        <v>762</v>
      </c>
      <c r="CB178" s="6" t="s">
        <v>757</v>
      </c>
      <c r="CD178" s="6" t="s">
        <v>196</v>
      </c>
      <c r="CE178" s="6">
        <v>19051622991</v>
      </c>
    </row>
    <row r="179" spans="1:83" x14ac:dyDescent="0.2">
      <c r="A179" s="6" t="s">
        <v>763</v>
      </c>
      <c r="B179" s="24">
        <v>45782.238067129627</v>
      </c>
      <c r="C179" s="6" t="s">
        <v>764</v>
      </c>
      <c r="D179" s="6" t="s">
        <v>193</v>
      </c>
      <c r="E179" s="6">
        <v>5903</v>
      </c>
      <c r="F179" s="6">
        <v>22502.75</v>
      </c>
      <c r="G179" s="6">
        <v>6752</v>
      </c>
      <c r="H179" s="6">
        <v>165</v>
      </c>
      <c r="I179" s="6">
        <v>11.178000000000001</v>
      </c>
      <c r="J179" s="6">
        <v>3.7909999999999999</v>
      </c>
      <c r="K179" s="6" t="b">
        <v>1</v>
      </c>
      <c r="L179" s="6">
        <v>129</v>
      </c>
      <c r="M179" s="6">
        <v>109</v>
      </c>
      <c r="O179" s="6">
        <v>767</v>
      </c>
      <c r="T179" s="6">
        <v>54.744889999999998</v>
      </c>
      <c r="U179" s="6">
        <v>50</v>
      </c>
      <c r="X179" s="6">
        <v>3.812087</v>
      </c>
      <c r="Y179" s="6">
        <v>37.375087999999998</v>
      </c>
      <c r="Z179" s="6">
        <v>26.921543</v>
      </c>
      <c r="AA179" s="6">
        <v>155</v>
      </c>
      <c r="AE179" s="6" t="b">
        <v>0</v>
      </c>
      <c r="AF179" s="6" t="b">
        <v>0</v>
      </c>
      <c r="AH179" s="6">
        <v>257</v>
      </c>
      <c r="AM179" s="6">
        <v>50</v>
      </c>
      <c r="AO179" s="6">
        <v>52</v>
      </c>
      <c r="AP179" s="6">
        <v>155</v>
      </c>
      <c r="AQ179" s="6">
        <v>124</v>
      </c>
      <c r="AR179" s="6">
        <v>138</v>
      </c>
      <c r="AS179" s="6">
        <v>144</v>
      </c>
      <c r="AT179" s="6">
        <v>154</v>
      </c>
      <c r="AU179" s="6">
        <v>158</v>
      </c>
      <c r="AV179" s="6">
        <v>163</v>
      </c>
      <c r="AW179" s="6">
        <v>190</v>
      </c>
      <c r="AX179" s="6">
        <v>5761</v>
      </c>
      <c r="AY179" s="6">
        <v>172</v>
      </c>
      <c r="AZ179" s="6">
        <v>0</v>
      </c>
      <c r="BA179" s="6">
        <v>0</v>
      </c>
      <c r="BB179" s="6">
        <v>0</v>
      </c>
      <c r="BC179" s="6">
        <v>0</v>
      </c>
      <c r="BD179" s="6">
        <v>0</v>
      </c>
      <c r="BM179" s="6">
        <v>90</v>
      </c>
      <c r="BN179" s="6" t="b">
        <v>0</v>
      </c>
      <c r="BO179" s="6" t="b">
        <v>0</v>
      </c>
      <c r="BP179" s="6" t="b">
        <v>0</v>
      </c>
      <c r="BQ179" s="6">
        <v>6006</v>
      </c>
      <c r="BR179" s="6">
        <v>1200</v>
      </c>
      <c r="BS179" s="6">
        <v>600</v>
      </c>
      <c r="BT179" s="6"/>
      <c r="BU179" s="6"/>
      <c r="CA179" s="6" t="s">
        <v>765</v>
      </c>
      <c r="CB179" s="6" t="s">
        <v>757</v>
      </c>
      <c r="CD179" s="6" t="s">
        <v>196</v>
      </c>
      <c r="CE179" s="6">
        <v>19031905918</v>
      </c>
    </row>
    <row r="180" spans="1:83" x14ac:dyDescent="0.2">
      <c r="A180" s="6" t="s">
        <v>766</v>
      </c>
      <c r="B180" s="24">
        <v>45780.387442129628</v>
      </c>
      <c r="C180" s="6" t="s">
        <v>725</v>
      </c>
      <c r="D180" s="6" t="s">
        <v>726</v>
      </c>
      <c r="E180" s="6">
        <v>2182</v>
      </c>
      <c r="F180" s="6"/>
      <c r="G180" s="6">
        <v>2182</v>
      </c>
      <c r="H180" s="6">
        <v>0</v>
      </c>
      <c r="I180" s="6"/>
      <c r="J180" s="6">
        <v>0</v>
      </c>
      <c r="K180" s="6" t="b">
        <v>1</v>
      </c>
      <c r="L180" s="6">
        <v>124</v>
      </c>
      <c r="M180" s="6">
        <v>90</v>
      </c>
      <c r="O180" s="6">
        <v>169</v>
      </c>
      <c r="T180" s="6">
        <v>36.338619999999999</v>
      </c>
      <c r="U180" s="6">
        <v>8</v>
      </c>
      <c r="X180" s="6"/>
      <c r="Y180" s="6">
        <v>40.878127999999997</v>
      </c>
      <c r="Z180" s="6">
        <v>27.000745999999999</v>
      </c>
      <c r="AA180" s="6"/>
      <c r="AE180" s="6" t="b">
        <v>0</v>
      </c>
      <c r="AF180" s="6" t="b">
        <v>0</v>
      </c>
      <c r="AH180" s="6"/>
      <c r="AM180" s="6">
        <v>8</v>
      </c>
      <c r="AO180" s="6">
        <v>52</v>
      </c>
      <c r="AP180" s="6">
        <v>155</v>
      </c>
      <c r="AQ180" s="6">
        <v>130</v>
      </c>
      <c r="AR180" s="6">
        <v>138</v>
      </c>
      <c r="AS180" s="6">
        <v>146</v>
      </c>
      <c r="AT180" s="6">
        <v>154</v>
      </c>
      <c r="AU180" s="6">
        <v>158</v>
      </c>
      <c r="AV180" s="6">
        <v>163</v>
      </c>
      <c r="AW180" s="6">
        <v>171</v>
      </c>
      <c r="AX180" s="6">
        <v>2183</v>
      </c>
      <c r="AY180" s="6">
        <v>0</v>
      </c>
      <c r="AZ180" s="6">
        <v>0</v>
      </c>
      <c r="BA180" s="6">
        <v>0</v>
      </c>
      <c r="BB180" s="6">
        <v>0</v>
      </c>
      <c r="BC180" s="6">
        <v>0</v>
      </c>
      <c r="BD180" s="6">
        <v>0</v>
      </c>
      <c r="BM180" s="6">
        <v>90</v>
      </c>
      <c r="BN180" s="6" t="b">
        <v>0</v>
      </c>
      <c r="BO180" s="6" t="b">
        <v>0</v>
      </c>
      <c r="BP180" s="6" t="b">
        <v>0</v>
      </c>
      <c r="BQ180" s="6">
        <v>2181</v>
      </c>
      <c r="BR180" s="6">
        <v>0</v>
      </c>
      <c r="BS180" s="6">
        <v>0</v>
      </c>
      <c r="BT180" s="6"/>
      <c r="BU180" s="6"/>
      <c r="CA180" s="6" t="s">
        <v>767</v>
      </c>
      <c r="CB180" s="6" t="s">
        <v>768</v>
      </c>
      <c r="CD180" s="6" t="s">
        <v>196</v>
      </c>
      <c r="CE180" s="6">
        <v>19014425736</v>
      </c>
    </row>
    <row r="181" spans="1:83" x14ac:dyDescent="0.2">
      <c r="A181" s="6" t="s">
        <v>769</v>
      </c>
      <c r="B181" s="24">
        <v>45780.24015046296</v>
      </c>
      <c r="C181" s="6" t="s">
        <v>576</v>
      </c>
      <c r="D181" s="6" t="s">
        <v>193</v>
      </c>
      <c r="E181" s="6">
        <v>4726</v>
      </c>
      <c r="F181" s="6">
        <v>16030.85</v>
      </c>
      <c r="G181" s="6">
        <v>4894</v>
      </c>
      <c r="H181" s="6">
        <v>396</v>
      </c>
      <c r="I181" s="6">
        <v>10.141999999999999</v>
      </c>
      <c r="J181" s="6">
        <v>3.3849999999999998</v>
      </c>
      <c r="K181" s="6" t="b">
        <v>1</v>
      </c>
      <c r="L181" s="6">
        <v>158</v>
      </c>
      <c r="M181" s="6">
        <v>126</v>
      </c>
      <c r="O181" s="6">
        <v>797</v>
      </c>
      <c r="T181" s="6">
        <v>68.961685000000003</v>
      </c>
      <c r="U181" s="6">
        <v>63</v>
      </c>
      <c r="X181" s="6">
        <v>3.3920545999999998</v>
      </c>
      <c r="Y181" s="6">
        <v>40.878127999999997</v>
      </c>
      <c r="Z181" s="6">
        <v>27.000745999999999</v>
      </c>
      <c r="AA181" s="6">
        <v>155</v>
      </c>
      <c r="AE181" s="6" t="b">
        <v>0</v>
      </c>
      <c r="AF181" s="6" t="b">
        <v>0</v>
      </c>
      <c r="AH181" s="6">
        <v>257</v>
      </c>
      <c r="AM181" s="6">
        <v>63</v>
      </c>
      <c r="AO181" s="6">
        <v>52</v>
      </c>
      <c r="AP181" s="6">
        <v>155</v>
      </c>
      <c r="AQ181" s="6">
        <v>124</v>
      </c>
      <c r="AR181" s="6">
        <v>138</v>
      </c>
      <c r="AS181" s="6">
        <v>144</v>
      </c>
      <c r="AT181" s="6">
        <v>154</v>
      </c>
      <c r="AU181" s="6">
        <v>158</v>
      </c>
      <c r="AV181" s="6">
        <v>163</v>
      </c>
      <c r="AW181" s="6">
        <v>190</v>
      </c>
      <c r="AX181" s="6">
        <v>2338</v>
      </c>
      <c r="AY181" s="6">
        <v>1585</v>
      </c>
      <c r="AZ181" s="6">
        <v>345</v>
      </c>
      <c r="BA181" s="6">
        <v>379</v>
      </c>
      <c r="BB181" s="6">
        <v>86</v>
      </c>
      <c r="BC181" s="6">
        <v>0</v>
      </c>
      <c r="BD181" s="6">
        <v>0</v>
      </c>
      <c r="BM181" s="6">
        <v>90</v>
      </c>
      <c r="BN181" s="6" t="b">
        <v>0</v>
      </c>
      <c r="BO181" s="6" t="b">
        <v>0</v>
      </c>
      <c r="BP181" s="6" t="b">
        <v>0</v>
      </c>
      <c r="BQ181" s="6">
        <v>4769</v>
      </c>
      <c r="BR181" s="6">
        <v>1200</v>
      </c>
      <c r="BS181" s="6">
        <v>600</v>
      </c>
      <c r="BT181" s="6">
        <v>29</v>
      </c>
      <c r="BU181" s="6">
        <v>158</v>
      </c>
      <c r="CA181" s="6" t="s">
        <v>770</v>
      </c>
      <c r="CB181" s="6" t="s">
        <v>771</v>
      </c>
      <c r="CD181" s="6" t="s">
        <v>196</v>
      </c>
      <c r="CE181" s="6">
        <v>19012547262</v>
      </c>
    </row>
    <row r="182" spans="1:83" x14ac:dyDescent="0.2">
      <c r="A182" s="6" t="s">
        <v>772</v>
      </c>
      <c r="B182" s="24">
        <v>45776.24763888889</v>
      </c>
      <c r="C182" s="6" t="s">
        <v>773</v>
      </c>
      <c r="D182" s="6" t="s">
        <v>220</v>
      </c>
      <c r="E182" s="6">
        <v>11109</v>
      </c>
      <c r="F182" s="6">
        <v>70112.350000000006</v>
      </c>
      <c r="G182" s="6">
        <v>11642</v>
      </c>
      <c r="H182" s="6">
        <v>808</v>
      </c>
      <c r="I182" s="6">
        <v>15.965</v>
      </c>
      <c r="J182" s="6">
        <v>6.3070000000000004</v>
      </c>
      <c r="K182" s="6" t="b">
        <v>1</v>
      </c>
      <c r="L182" s="6">
        <v>139</v>
      </c>
      <c r="M182" s="6">
        <v>115</v>
      </c>
      <c r="O182" s="6">
        <v>1717</v>
      </c>
      <c r="T182" s="6">
        <v>64.882729999999995</v>
      </c>
      <c r="U182" s="6">
        <v>130</v>
      </c>
      <c r="X182" s="6">
        <v>6.3113109999999999</v>
      </c>
      <c r="Y182" s="6">
        <v>55.649814999999997</v>
      </c>
      <c r="Z182" s="6">
        <v>28.068283000000001</v>
      </c>
      <c r="AA182" s="6">
        <v>155</v>
      </c>
      <c r="AE182" s="6" t="b">
        <v>0</v>
      </c>
      <c r="AF182" s="6" t="b">
        <v>0</v>
      </c>
      <c r="AH182" s="6">
        <v>257</v>
      </c>
      <c r="AM182" s="6">
        <v>130</v>
      </c>
      <c r="AO182" s="6">
        <v>52</v>
      </c>
      <c r="AP182" s="6">
        <v>155</v>
      </c>
      <c r="AQ182" s="6">
        <v>124</v>
      </c>
      <c r="AR182" s="6">
        <v>138</v>
      </c>
      <c r="AS182" s="6">
        <v>144</v>
      </c>
      <c r="AT182" s="6">
        <v>154</v>
      </c>
      <c r="AU182" s="6">
        <v>158</v>
      </c>
      <c r="AV182" s="6">
        <v>163</v>
      </c>
      <c r="AW182" s="6">
        <v>190</v>
      </c>
      <c r="AX182" s="6">
        <v>5177</v>
      </c>
      <c r="AY182" s="6">
        <v>5918</v>
      </c>
      <c r="AZ182" s="6">
        <v>24</v>
      </c>
      <c r="BA182" s="6">
        <v>0</v>
      </c>
      <c r="BB182" s="6">
        <v>0</v>
      </c>
      <c r="BC182" s="6">
        <v>0</v>
      </c>
      <c r="BD182" s="6">
        <v>0</v>
      </c>
      <c r="BM182" s="6">
        <v>90</v>
      </c>
      <c r="BN182" s="6" t="b">
        <v>0</v>
      </c>
      <c r="BO182" s="6" t="b">
        <v>0</v>
      </c>
      <c r="BP182" s="6" t="b">
        <v>0</v>
      </c>
      <c r="BQ182" s="6">
        <v>11117</v>
      </c>
      <c r="BR182" s="6">
        <v>1200</v>
      </c>
      <c r="BS182" s="6">
        <v>600</v>
      </c>
      <c r="CA182" s="6" t="s">
        <v>774</v>
      </c>
      <c r="CB182" s="6" t="s">
        <v>771</v>
      </c>
      <c r="CD182" s="6" t="s">
        <v>196</v>
      </c>
      <c r="CE182" s="6">
        <v>18971758738</v>
      </c>
    </row>
    <row r="183" spans="1:83" x14ac:dyDescent="0.2">
      <c r="A183" s="6" t="s">
        <v>775</v>
      </c>
      <c r="B183" s="24">
        <v>45775.264293981483</v>
      </c>
      <c r="C183" s="6" t="s">
        <v>776</v>
      </c>
      <c r="D183" s="6" t="s">
        <v>193</v>
      </c>
      <c r="E183" s="6">
        <v>11160</v>
      </c>
      <c r="F183" s="6">
        <v>47806.45</v>
      </c>
      <c r="G183" s="6">
        <v>11981</v>
      </c>
      <c r="H183" s="6">
        <v>652</v>
      </c>
      <c r="I183" s="6">
        <v>12.438000000000001</v>
      </c>
      <c r="J183" s="6">
        <v>4.2759999999999998</v>
      </c>
      <c r="K183" s="6" t="b">
        <v>1</v>
      </c>
      <c r="L183" s="6">
        <v>145</v>
      </c>
      <c r="M183" s="6">
        <v>120</v>
      </c>
      <c r="O183" s="6">
        <v>1650</v>
      </c>
      <c r="T183" s="6">
        <v>64.366910000000004</v>
      </c>
      <c r="U183" s="6">
        <v>129</v>
      </c>
      <c r="X183" s="6">
        <v>4.2837319999999997</v>
      </c>
      <c r="Y183" s="6">
        <v>44.232227000000002</v>
      </c>
      <c r="Z183" s="6">
        <v>25.612214999999999</v>
      </c>
      <c r="AA183" s="6">
        <v>155</v>
      </c>
      <c r="AE183" s="6" t="b">
        <v>0</v>
      </c>
      <c r="AF183" s="6" t="b">
        <v>0</v>
      </c>
      <c r="AH183" s="6">
        <v>257</v>
      </c>
      <c r="AM183" s="6">
        <v>129</v>
      </c>
      <c r="AO183" s="6">
        <v>52</v>
      </c>
      <c r="AP183" s="6">
        <v>155</v>
      </c>
      <c r="AQ183" s="6">
        <v>124</v>
      </c>
      <c r="AR183" s="6">
        <v>138</v>
      </c>
      <c r="AS183" s="6">
        <v>144</v>
      </c>
      <c r="AT183" s="6">
        <v>154</v>
      </c>
      <c r="AU183" s="6">
        <v>158</v>
      </c>
      <c r="AV183" s="6">
        <v>163</v>
      </c>
      <c r="AW183" s="6">
        <v>190</v>
      </c>
      <c r="AX183" s="6">
        <v>7200</v>
      </c>
      <c r="AY183" s="6">
        <v>3830</v>
      </c>
      <c r="AZ183" s="6">
        <v>143</v>
      </c>
      <c r="BA183" s="6">
        <v>6</v>
      </c>
      <c r="BB183" s="6">
        <v>0</v>
      </c>
      <c r="BC183" s="6">
        <v>0</v>
      </c>
      <c r="BD183" s="6">
        <v>0</v>
      </c>
      <c r="BM183" s="6">
        <v>90</v>
      </c>
      <c r="BN183" s="6" t="b">
        <v>0</v>
      </c>
      <c r="BO183" s="6" t="b">
        <v>0</v>
      </c>
      <c r="BP183" s="6" t="b">
        <v>0</v>
      </c>
      <c r="BQ183" s="6">
        <v>11209</v>
      </c>
      <c r="BR183" s="6">
        <v>1200</v>
      </c>
      <c r="BS183" s="6">
        <v>600</v>
      </c>
      <c r="CA183" s="6" t="s">
        <v>777</v>
      </c>
      <c r="CB183" s="6" t="s">
        <v>771</v>
      </c>
      <c r="CD183" s="6" t="s">
        <v>196</v>
      </c>
      <c r="CE183" s="6">
        <v>18961594999</v>
      </c>
    </row>
    <row r="184" spans="1:83" x14ac:dyDescent="0.2">
      <c r="A184" s="6" t="s">
        <v>778</v>
      </c>
      <c r="B184" s="24">
        <v>45773.242534722223</v>
      </c>
      <c r="C184" s="6" t="s">
        <v>779</v>
      </c>
      <c r="D184" s="6" t="s">
        <v>193</v>
      </c>
      <c r="E184" s="6">
        <v>6717</v>
      </c>
      <c r="F184" s="6">
        <v>26995</v>
      </c>
      <c r="G184" s="6">
        <v>6743</v>
      </c>
      <c r="H184" s="6">
        <v>355</v>
      </c>
      <c r="I184" s="6">
        <v>11.878</v>
      </c>
      <c r="J184" s="6">
        <v>4.0170000000000003</v>
      </c>
      <c r="K184" s="6" t="b">
        <v>1</v>
      </c>
      <c r="L184" s="6">
        <v>161</v>
      </c>
      <c r="M184" s="6">
        <v>126</v>
      </c>
      <c r="O184" s="6">
        <v>1031</v>
      </c>
      <c r="T184" s="6">
        <v>68.936920000000001</v>
      </c>
      <c r="U184" s="6">
        <v>89</v>
      </c>
      <c r="X184" s="6">
        <v>4.0189069999999996</v>
      </c>
      <c r="Y184" s="6">
        <v>36.008377000000003</v>
      </c>
      <c r="Z184" s="6">
        <v>23.678170000000001</v>
      </c>
      <c r="AA184" s="6">
        <v>155</v>
      </c>
      <c r="AE184" s="6" t="b">
        <v>0</v>
      </c>
      <c r="AF184" s="6" t="b">
        <v>0</v>
      </c>
      <c r="AH184" s="6">
        <v>257</v>
      </c>
      <c r="AM184" s="6">
        <v>89</v>
      </c>
      <c r="AO184" s="6">
        <v>52</v>
      </c>
      <c r="AP184" s="6">
        <v>155</v>
      </c>
      <c r="AQ184" s="6">
        <v>124</v>
      </c>
      <c r="AR184" s="6">
        <v>138</v>
      </c>
      <c r="AS184" s="6">
        <v>144</v>
      </c>
      <c r="AT184" s="6">
        <v>154</v>
      </c>
      <c r="AU184" s="6">
        <v>158</v>
      </c>
      <c r="AV184" s="6">
        <v>163</v>
      </c>
      <c r="AW184" s="6">
        <v>190</v>
      </c>
      <c r="AX184" s="6">
        <v>3897</v>
      </c>
      <c r="AY184" s="6">
        <v>1953</v>
      </c>
      <c r="AZ184" s="6">
        <v>274</v>
      </c>
      <c r="BA184" s="6">
        <v>368</v>
      </c>
      <c r="BB184" s="6">
        <v>197</v>
      </c>
      <c r="BC184" s="6">
        <v>32</v>
      </c>
      <c r="BD184" s="6">
        <v>0</v>
      </c>
      <c r="BM184" s="6">
        <v>90</v>
      </c>
      <c r="BN184" s="6" t="b">
        <v>0</v>
      </c>
      <c r="BO184" s="6" t="b">
        <v>0</v>
      </c>
      <c r="BP184" s="6" t="b">
        <v>0</v>
      </c>
      <c r="BQ184" s="6">
        <v>6742</v>
      </c>
      <c r="BR184" s="6">
        <v>1200</v>
      </c>
      <c r="BS184" s="6">
        <v>600</v>
      </c>
      <c r="CA184" s="6" t="s">
        <v>780</v>
      </c>
      <c r="CB184" s="6" t="s">
        <v>771</v>
      </c>
      <c r="CD184" s="6" t="s">
        <v>196</v>
      </c>
      <c r="CE184" s="6">
        <v>18940918664</v>
      </c>
    </row>
    <row r="185" spans="1:83" x14ac:dyDescent="0.2">
      <c r="A185" s="6" t="s">
        <v>781</v>
      </c>
      <c r="B185" s="24">
        <v>45769.733622685184</v>
      </c>
      <c r="C185" s="6" t="s">
        <v>782</v>
      </c>
      <c r="D185" s="6" t="s">
        <v>726</v>
      </c>
      <c r="E185" s="6">
        <v>1861</v>
      </c>
      <c r="F185" s="6"/>
      <c r="G185" s="6">
        <v>1861</v>
      </c>
      <c r="H185" s="6">
        <v>0</v>
      </c>
      <c r="I185" s="6"/>
      <c r="J185" s="6">
        <v>0</v>
      </c>
      <c r="K185" s="6" t="b">
        <v>1</v>
      </c>
      <c r="L185" s="6">
        <v>122</v>
      </c>
      <c r="M185" s="6">
        <v>95</v>
      </c>
      <c r="O185" s="6">
        <v>174</v>
      </c>
      <c r="T185" s="6">
        <v>41.736499999999999</v>
      </c>
      <c r="U185" s="6">
        <v>9</v>
      </c>
      <c r="X185" s="6"/>
      <c r="Y185" s="6">
        <v>42.78331</v>
      </c>
      <c r="Z185" s="6">
        <v>23.740853999999999</v>
      </c>
      <c r="AA185" s="6"/>
      <c r="AE185" s="6" t="b">
        <v>0</v>
      </c>
      <c r="AF185" s="6" t="b">
        <v>0</v>
      </c>
      <c r="AH185" s="6"/>
      <c r="AM185" s="6">
        <v>9</v>
      </c>
      <c r="AO185" s="6">
        <v>52</v>
      </c>
      <c r="AP185" s="6">
        <v>155</v>
      </c>
      <c r="AQ185" s="6">
        <v>130</v>
      </c>
      <c r="AR185" s="6">
        <v>138</v>
      </c>
      <c r="AS185" s="6">
        <v>146</v>
      </c>
      <c r="AT185" s="6">
        <v>154</v>
      </c>
      <c r="AU185" s="6">
        <v>158</v>
      </c>
      <c r="AV185" s="6">
        <v>163</v>
      </c>
      <c r="AW185" s="6">
        <v>171</v>
      </c>
      <c r="AX185" s="6">
        <v>1862</v>
      </c>
      <c r="AY185" s="6">
        <v>0</v>
      </c>
      <c r="AZ185" s="6">
        <v>0</v>
      </c>
      <c r="BA185" s="6">
        <v>0</v>
      </c>
      <c r="BB185" s="6">
        <v>0</v>
      </c>
      <c r="BC185" s="6">
        <v>0</v>
      </c>
      <c r="BD185" s="6">
        <v>0</v>
      </c>
      <c r="BM185" s="6">
        <v>90</v>
      </c>
      <c r="BN185" s="6" t="b">
        <v>0</v>
      </c>
      <c r="BO185" s="6" t="b">
        <v>0</v>
      </c>
      <c r="BP185" s="6" t="b">
        <v>0</v>
      </c>
      <c r="BQ185" s="6">
        <v>1860</v>
      </c>
      <c r="BR185" s="6">
        <v>0</v>
      </c>
      <c r="BS185" s="6">
        <v>0</v>
      </c>
      <c r="BT185" s="6"/>
      <c r="BU185" s="6"/>
      <c r="CA185" s="6" t="s">
        <v>783</v>
      </c>
      <c r="CB185" s="6" t="s">
        <v>784</v>
      </c>
      <c r="CD185" s="6" t="s">
        <v>196</v>
      </c>
      <c r="CE185" s="6">
        <v>18907232253</v>
      </c>
    </row>
    <row r="186" spans="1:83" x14ac:dyDescent="0.2">
      <c r="A186" s="6" t="s">
        <v>785</v>
      </c>
      <c r="B186" s="24">
        <v>45769.247743055559</v>
      </c>
      <c r="C186" s="6" t="s">
        <v>786</v>
      </c>
      <c r="D186" s="6" t="s">
        <v>193</v>
      </c>
      <c r="E186" s="6">
        <v>7496</v>
      </c>
      <c r="F186" s="6">
        <v>48332.55</v>
      </c>
      <c r="G186" s="6">
        <v>7863</v>
      </c>
      <c r="H186" s="6">
        <v>529</v>
      </c>
      <c r="I186" s="6">
        <v>18.306999999999999</v>
      </c>
      <c r="J186" s="6">
        <v>6.1479999999999997</v>
      </c>
      <c r="K186" s="6" t="b">
        <v>1</v>
      </c>
      <c r="L186" s="6">
        <v>138</v>
      </c>
      <c r="M186" s="6">
        <v>128</v>
      </c>
      <c r="O186" s="6">
        <v>1367</v>
      </c>
      <c r="T186" s="6">
        <v>68.542360000000002</v>
      </c>
      <c r="U186" s="6">
        <v>102</v>
      </c>
      <c r="X186" s="6">
        <v>6.4477786999999998</v>
      </c>
      <c r="Y186" s="6">
        <v>42.78331</v>
      </c>
      <c r="Z186" s="6">
        <v>23.740853999999999</v>
      </c>
      <c r="AA186" s="6">
        <v>155</v>
      </c>
      <c r="AE186" s="6" t="b">
        <v>0</v>
      </c>
      <c r="AF186" s="6" t="b">
        <v>0</v>
      </c>
      <c r="AH186" s="6">
        <v>257</v>
      </c>
      <c r="AM186" s="6">
        <v>102</v>
      </c>
      <c r="AO186" s="6">
        <v>52</v>
      </c>
      <c r="AP186" s="6">
        <v>155</v>
      </c>
      <c r="AQ186" s="6">
        <v>124</v>
      </c>
      <c r="AR186" s="6">
        <v>138</v>
      </c>
      <c r="AS186" s="6">
        <v>144</v>
      </c>
      <c r="AT186" s="6">
        <v>154</v>
      </c>
      <c r="AU186" s="6">
        <v>158</v>
      </c>
      <c r="AV186" s="6">
        <v>163</v>
      </c>
      <c r="AW186" s="6">
        <v>190</v>
      </c>
      <c r="AX186" s="6">
        <v>2197</v>
      </c>
      <c r="AY186" s="6">
        <v>5262</v>
      </c>
      <c r="AZ186" s="6">
        <v>0</v>
      </c>
      <c r="BA186" s="6">
        <v>0</v>
      </c>
      <c r="BB186" s="6">
        <v>0</v>
      </c>
      <c r="BC186" s="6">
        <v>0</v>
      </c>
      <c r="BD186" s="6">
        <v>0</v>
      </c>
      <c r="BM186" s="6">
        <v>90</v>
      </c>
      <c r="BN186" s="6" t="b">
        <v>0</v>
      </c>
      <c r="BO186" s="6" t="b">
        <v>0</v>
      </c>
      <c r="BP186" s="6" t="b">
        <v>0</v>
      </c>
      <c r="BQ186" s="6">
        <v>7816</v>
      </c>
      <c r="BR186" s="6">
        <v>1200</v>
      </c>
      <c r="BS186" s="6">
        <v>600</v>
      </c>
      <c r="BT186" s="6"/>
      <c r="BU186" s="6"/>
      <c r="CA186" s="6" t="s">
        <v>787</v>
      </c>
      <c r="CB186" s="6" t="s">
        <v>788</v>
      </c>
      <c r="CD186" s="6" t="s">
        <v>196</v>
      </c>
      <c r="CE186" s="6">
        <v>18901966472</v>
      </c>
    </row>
    <row r="187" spans="1:83" x14ac:dyDescent="0.2">
      <c r="A187" s="6" t="s">
        <v>789</v>
      </c>
      <c r="B187" s="24">
        <v>45768.270381944443</v>
      </c>
      <c r="C187" s="6" t="s">
        <v>790</v>
      </c>
      <c r="D187" s="6" t="s">
        <v>193</v>
      </c>
      <c r="E187" s="6">
        <v>11705</v>
      </c>
      <c r="F187" s="6">
        <v>50699.83</v>
      </c>
      <c r="G187" s="6">
        <v>12292</v>
      </c>
      <c r="H187" s="6">
        <v>629</v>
      </c>
      <c r="I187" s="6">
        <v>11.878</v>
      </c>
      <c r="J187" s="6">
        <v>4.3239999999999998</v>
      </c>
      <c r="K187" s="6" t="b">
        <v>1</v>
      </c>
      <c r="L187" s="6">
        <v>159</v>
      </c>
      <c r="M187" s="6">
        <v>128</v>
      </c>
      <c r="O187" s="6">
        <v>1937</v>
      </c>
      <c r="T187" s="6">
        <v>70.159059999999997</v>
      </c>
      <c r="U187" s="6">
        <v>161</v>
      </c>
      <c r="X187" s="6">
        <v>4.3314675999999999</v>
      </c>
      <c r="Y187" s="6">
        <v>32.307613000000003</v>
      </c>
      <c r="Z187" s="6">
        <v>21.855183</v>
      </c>
      <c r="AA187" s="6">
        <v>155</v>
      </c>
      <c r="AE187" s="6" t="b">
        <v>0</v>
      </c>
      <c r="AF187" s="6" t="b">
        <v>0</v>
      </c>
      <c r="AH187" s="6">
        <v>257</v>
      </c>
      <c r="AM187" s="6">
        <v>161</v>
      </c>
      <c r="AO187" s="6">
        <v>52</v>
      </c>
      <c r="AP187" s="6">
        <v>155</v>
      </c>
      <c r="AQ187" s="6">
        <v>124</v>
      </c>
      <c r="AR187" s="6">
        <v>138</v>
      </c>
      <c r="AS187" s="6">
        <v>144</v>
      </c>
      <c r="AT187" s="6">
        <v>154</v>
      </c>
      <c r="AU187" s="6">
        <v>158</v>
      </c>
      <c r="AV187" s="6">
        <v>163</v>
      </c>
      <c r="AW187" s="6">
        <v>190</v>
      </c>
      <c r="AX187" s="6">
        <v>4933</v>
      </c>
      <c r="AY187" s="6">
        <v>5213</v>
      </c>
      <c r="AZ187" s="6">
        <v>1024</v>
      </c>
      <c r="BA187" s="6">
        <v>410</v>
      </c>
      <c r="BB187" s="6">
        <v>141</v>
      </c>
      <c r="BC187" s="6">
        <v>1</v>
      </c>
      <c r="BD187" s="6">
        <v>0</v>
      </c>
      <c r="BM187" s="6">
        <v>90</v>
      </c>
      <c r="BN187" s="6" t="b">
        <v>0</v>
      </c>
      <c r="BO187" s="6" t="b">
        <v>0</v>
      </c>
      <c r="BP187" s="6" t="b">
        <v>0</v>
      </c>
      <c r="BQ187" s="6">
        <v>11775</v>
      </c>
      <c r="BR187" s="6">
        <v>1200</v>
      </c>
      <c r="BS187" s="6">
        <v>600</v>
      </c>
      <c r="BT187" s="6">
        <v>15</v>
      </c>
      <c r="BU187" s="6">
        <v>157</v>
      </c>
      <c r="CA187" s="6" t="s">
        <v>791</v>
      </c>
      <c r="CB187" s="6" t="s">
        <v>788</v>
      </c>
      <c r="CD187" s="6" t="s">
        <v>196</v>
      </c>
      <c r="CE187" s="6">
        <v>18893609974</v>
      </c>
    </row>
    <row r="188" spans="1:83" x14ac:dyDescent="0.2">
      <c r="A188" s="6" t="s">
        <v>792</v>
      </c>
      <c r="B188" s="24">
        <v>45764.247071759259</v>
      </c>
      <c r="C188" s="6" t="s">
        <v>576</v>
      </c>
      <c r="D188" s="6" t="s">
        <v>193</v>
      </c>
      <c r="E188" s="6">
        <v>4834</v>
      </c>
      <c r="F188" s="6">
        <v>17016.169999999998</v>
      </c>
      <c r="G188" s="6">
        <v>4979</v>
      </c>
      <c r="H188" s="6">
        <v>131</v>
      </c>
      <c r="I188" s="6">
        <v>10.87</v>
      </c>
      <c r="J188" s="6">
        <v>3.5089999999999999</v>
      </c>
      <c r="K188" s="6" t="b">
        <v>1</v>
      </c>
      <c r="L188" s="6">
        <v>133</v>
      </c>
      <c r="M188" s="6">
        <v>108</v>
      </c>
      <c r="O188" s="6">
        <v>607</v>
      </c>
      <c r="T188" s="6">
        <v>52.708908000000001</v>
      </c>
      <c r="U188" s="6">
        <v>38</v>
      </c>
      <c r="X188" s="6">
        <v>3.5201012999999999</v>
      </c>
      <c r="Y188" s="6">
        <v>19.257317</v>
      </c>
      <c r="Z188" s="6">
        <v>19.872406000000002</v>
      </c>
      <c r="AA188" s="6">
        <v>156</v>
      </c>
      <c r="AE188" s="6" t="b">
        <v>0</v>
      </c>
      <c r="AF188" s="6" t="b">
        <v>0</v>
      </c>
      <c r="AH188" s="6">
        <v>257</v>
      </c>
      <c r="AM188" s="6">
        <v>38</v>
      </c>
      <c r="AO188" s="6">
        <v>52</v>
      </c>
      <c r="AP188" s="6">
        <v>155</v>
      </c>
      <c r="AQ188" s="6">
        <v>124</v>
      </c>
      <c r="AR188" s="6">
        <v>138</v>
      </c>
      <c r="AS188" s="6">
        <v>144</v>
      </c>
      <c r="AT188" s="6">
        <v>154</v>
      </c>
      <c r="AU188" s="6">
        <v>158</v>
      </c>
      <c r="AV188" s="6">
        <v>163</v>
      </c>
      <c r="AW188" s="6">
        <v>190</v>
      </c>
      <c r="AX188" s="6">
        <v>4740</v>
      </c>
      <c r="AY188" s="6">
        <v>109</v>
      </c>
      <c r="AZ188" s="6">
        <v>0</v>
      </c>
      <c r="BA188" s="6">
        <v>0</v>
      </c>
      <c r="BB188" s="6">
        <v>0</v>
      </c>
      <c r="BC188" s="6">
        <v>0</v>
      </c>
      <c r="BD188" s="6">
        <v>0</v>
      </c>
      <c r="BM188" s="6">
        <v>90</v>
      </c>
      <c r="BN188" s="6" t="b">
        <v>0</v>
      </c>
      <c r="BO188" s="6" t="b">
        <v>0</v>
      </c>
      <c r="BP188" s="6" t="b">
        <v>0</v>
      </c>
      <c r="BQ188" s="6">
        <v>4924</v>
      </c>
      <c r="BR188" s="6">
        <v>1200</v>
      </c>
      <c r="BS188" s="6">
        <v>600</v>
      </c>
      <c r="CA188" s="6" t="s">
        <v>793</v>
      </c>
      <c r="CB188" s="6" t="s">
        <v>788</v>
      </c>
      <c r="CD188" s="6" t="s">
        <v>196</v>
      </c>
      <c r="CE188" s="6">
        <v>18854208960</v>
      </c>
    </row>
    <row r="189" spans="1:83" x14ac:dyDescent="0.2">
      <c r="A189" s="6" t="s">
        <v>794</v>
      </c>
      <c r="B189" s="24">
        <v>45758.269606481481</v>
      </c>
      <c r="C189" s="6" t="s">
        <v>725</v>
      </c>
      <c r="D189" s="6" t="s">
        <v>726</v>
      </c>
      <c r="E189" s="6">
        <v>1821</v>
      </c>
      <c r="F189" s="6"/>
      <c r="G189" s="6">
        <v>1821</v>
      </c>
      <c r="H189" s="6">
        <v>0</v>
      </c>
      <c r="I189" s="6"/>
      <c r="J189" s="6">
        <v>0</v>
      </c>
      <c r="K189" s="6" t="b">
        <v>1</v>
      </c>
      <c r="L189" s="6">
        <v>110</v>
      </c>
      <c r="M189" s="6">
        <v>81</v>
      </c>
      <c r="O189" s="6">
        <v>123</v>
      </c>
      <c r="T189" s="6">
        <v>31.448544999999999</v>
      </c>
      <c r="U189" s="6">
        <v>5</v>
      </c>
      <c r="X189" s="6"/>
      <c r="Y189" s="6">
        <v>33.458022999999997</v>
      </c>
      <c r="Z189" s="6">
        <v>21.892735999999999</v>
      </c>
      <c r="AA189" s="6"/>
      <c r="AE189" s="6" t="b">
        <v>0</v>
      </c>
      <c r="AF189" s="6" t="b">
        <v>0</v>
      </c>
      <c r="AH189" s="6"/>
      <c r="AM189" s="6">
        <v>5</v>
      </c>
      <c r="AO189" s="6">
        <v>52</v>
      </c>
      <c r="AP189" s="6">
        <v>155</v>
      </c>
      <c r="AQ189" s="6">
        <v>130</v>
      </c>
      <c r="AR189" s="6">
        <v>138</v>
      </c>
      <c r="AS189" s="6">
        <v>146</v>
      </c>
      <c r="AT189" s="6">
        <v>154</v>
      </c>
      <c r="AU189" s="6">
        <v>158</v>
      </c>
      <c r="AV189" s="6">
        <v>163</v>
      </c>
      <c r="AW189" s="6">
        <v>171</v>
      </c>
      <c r="AX189" s="6">
        <v>1822</v>
      </c>
      <c r="AY189" s="6">
        <v>0</v>
      </c>
      <c r="AZ189" s="6">
        <v>0</v>
      </c>
      <c r="BA189" s="6">
        <v>0</v>
      </c>
      <c r="BB189" s="6">
        <v>0</v>
      </c>
      <c r="BC189" s="6">
        <v>0</v>
      </c>
      <c r="BD189" s="6">
        <v>0</v>
      </c>
      <c r="BM189" s="6">
        <v>90</v>
      </c>
      <c r="BN189" s="6" t="b">
        <v>0</v>
      </c>
      <c r="BO189" s="6" t="b">
        <v>0</v>
      </c>
      <c r="BP189" s="6" t="b">
        <v>0</v>
      </c>
      <c r="BQ189" s="6">
        <v>1820</v>
      </c>
      <c r="BR189" s="6">
        <v>0</v>
      </c>
      <c r="BS189" s="6">
        <v>0</v>
      </c>
      <c r="CA189" s="6" t="s">
        <v>795</v>
      </c>
      <c r="CB189" s="6" t="s">
        <v>796</v>
      </c>
      <c r="CD189" s="6" t="s">
        <v>196</v>
      </c>
      <c r="CE189" s="6">
        <v>18796485038</v>
      </c>
    </row>
    <row r="190" spans="1:83" x14ac:dyDescent="0.2">
      <c r="A190" s="6" t="s">
        <v>797</v>
      </c>
      <c r="B190" s="24">
        <v>45755.243738425925</v>
      </c>
      <c r="C190" s="6" t="s">
        <v>576</v>
      </c>
      <c r="D190" s="6" t="s">
        <v>193</v>
      </c>
      <c r="E190" s="6">
        <v>6527</v>
      </c>
      <c r="F190" s="6">
        <v>25370.81</v>
      </c>
      <c r="G190" s="6">
        <v>6737</v>
      </c>
      <c r="H190" s="6">
        <v>361</v>
      </c>
      <c r="I190" s="6">
        <v>9.9190000000000005</v>
      </c>
      <c r="J190" s="6">
        <v>3.8759999999999999</v>
      </c>
      <c r="K190" s="6" t="b">
        <v>1</v>
      </c>
      <c r="L190" s="6">
        <v>145</v>
      </c>
      <c r="M190" s="6">
        <v>121</v>
      </c>
      <c r="O190" s="6">
        <v>866</v>
      </c>
      <c r="T190" s="6">
        <v>62.934998</v>
      </c>
      <c r="U190" s="6">
        <v>73</v>
      </c>
      <c r="X190" s="6">
        <v>3.8870553999999999</v>
      </c>
      <c r="Y190" s="6">
        <v>50.338419999999999</v>
      </c>
      <c r="Z190" s="6">
        <v>23.513704000000001</v>
      </c>
      <c r="AA190" s="6">
        <v>156</v>
      </c>
      <c r="AE190" s="6" t="b">
        <v>0</v>
      </c>
      <c r="AF190" s="6" t="b">
        <v>0</v>
      </c>
      <c r="AH190" s="6">
        <v>257</v>
      </c>
      <c r="AM190" s="6">
        <v>73</v>
      </c>
      <c r="AO190" s="6">
        <v>52</v>
      </c>
      <c r="AP190" s="6">
        <v>155</v>
      </c>
      <c r="AQ190" s="6">
        <v>124</v>
      </c>
      <c r="AR190" s="6">
        <v>138</v>
      </c>
      <c r="AS190" s="6">
        <v>144</v>
      </c>
      <c r="AT190" s="6">
        <v>154</v>
      </c>
      <c r="AU190" s="6">
        <v>158</v>
      </c>
      <c r="AV190" s="6">
        <v>163</v>
      </c>
      <c r="AW190" s="6">
        <v>190</v>
      </c>
      <c r="AX190" s="6">
        <v>4517</v>
      </c>
      <c r="AY190" s="6">
        <v>1706</v>
      </c>
      <c r="AZ190" s="6">
        <v>317</v>
      </c>
      <c r="BA190" s="6">
        <v>3</v>
      </c>
      <c r="BB190" s="6">
        <v>0</v>
      </c>
      <c r="BC190" s="6">
        <v>0</v>
      </c>
      <c r="BD190" s="6">
        <v>0</v>
      </c>
      <c r="BM190" s="6">
        <v>90</v>
      </c>
      <c r="BN190" s="6" t="b">
        <v>0</v>
      </c>
      <c r="BO190" s="6" t="b">
        <v>0</v>
      </c>
      <c r="BP190" s="6" t="b">
        <v>0</v>
      </c>
      <c r="BQ190" s="6">
        <v>6635</v>
      </c>
      <c r="BR190" s="6">
        <v>1200</v>
      </c>
      <c r="BS190" s="6">
        <v>600</v>
      </c>
      <c r="CA190" s="6" t="s">
        <v>798</v>
      </c>
      <c r="CB190" s="6" t="s">
        <v>788</v>
      </c>
      <c r="CD190" s="6" t="s">
        <v>196</v>
      </c>
      <c r="CE190" s="6">
        <v>18767410187</v>
      </c>
    </row>
    <row r="191" spans="1:83" x14ac:dyDescent="0.2">
      <c r="A191" s="6" t="s">
        <v>799</v>
      </c>
      <c r="B191" s="24">
        <v>45754.247083333335</v>
      </c>
      <c r="C191" s="6" t="s">
        <v>800</v>
      </c>
      <c r="D191" s="6" t="s">
        <v>193</v>
      </c>
      <c r="E191" s="6">
        <v>13451</v>
      </c>
      <c r="F191" s="6">
        <v>51431.32</v>
      </c>
      <c r="G191" s="6">
        <v>13975</v>
      </c>
      <c r="H191" s="6">
        <v>732</v>
      </c>
      <c r="I191" s="6">
        <v>12.577999999999999</v>
      </c>
      <c r="J191" s="6">
        <v>3.8170000000000002</v>
      </c>
      <c r="K191" s="6" t="b">
        <v>1</v>
      </c>
      <c r="L191" s="6">
        <v>149</v>
      </c>
      <c r="M191" s="6">
        <v>127</v>
      </c>
      <c r="O191" s="6">
        <v>2000</v>
      </c>
      <c r="T191" s="6">
        <v>69.478269999999995</v>
      </c>
      <c r="U191" s="6">
        <v>182</v>
      </c>
      <c r="X191" s="6">
        <v>3.8236058000000002</v>
      </c>
      <c r="Y191" s="6">
        <v>46.858395000000002</v>
      </c>
      <c r="Z191" s="6">
        <v>22.32132</v>
      </c>
      <c r="AA191" s="6">
        <v>156</v>
      </c>
      <c r="AE191" s="6" t="b">
        <v>0</v>
      </c>
      <c r="AF191" s="6" t="b">
        <v>0</v>
      </c>
      <c r="AH191" s="6">
        <v>257</v>
      </c>
      <c r="AM191" s="6">
        <v>182</v>
      </c>
      <c r="AO191" s="6">
        <v>52</v>
      </c>
      <c r="AP191" s="6">
        <v>155</v>
      </c>
      <c r="AQ191" s="6">
        <v>124</v>
      </c>
      <c r="AR191" s="6">
        <v>138</v>
      </c>
      <c r="AS191" s="6">
        <v>144</v>
      </c>
      <c r="AT191" s="6">
        <v>154</v>
      </c>
      <c r="AU191" s="6">
        <v>158</v>
      </c>
      <c r="AV191" s="6">
        <v>163</v>
      </c>
      <c r="AW191" s="6">
        <v>190</v>
      </c>
      <c r="AX191" s="6">
        <v>5600</v>
      </c>
      <c r="AY191" s="6">
        <v>6668</v>
      </c>
      <c r="AZ191" s="6">
        <v>938</v>
      </c>
      <c r="BA191" s="6">
        <v>268</v>
      </c>
      <c r="BB191" s="6">
        <v>0</v>
      </c>
      <c r="BC191" s="6">
        <v>0</v>
      </c>
      <c r="BD191" s="6">
        <v>0</v>
      </c>
      <c r="BM191" s="6">
        <v>90</v>
      </c>
      <c r="BN191" s="6" t="b">
        <v>0</v>
      </c>
      <c r="BO191" s="6" t="b">
        <v>0</v>
      </c>
      <c r="BP191" s="6" t="b">
        <v>0</v>
      </c>
      <c r="BQ191" s="6">
        <v>13573</v>
      </c>
      <c r="BR191" s="6">
        <v>1200</v>
      </c>
      <c r="BS191" s="6">
        <v>600</v>
      </c>
      <c r="CA191" s="6" t="s">
        <v>801</v>
      </c>
      <c r="CB191" s="6" t="s">
        <v>802</v>
      </c>
      <c r="CD191" s="6" t="s">
        <v>196</v>
      </c>
      <c r="CE191" s="6">
        <v>18758641523</v>
      </c>
    </row>
    <row r="192" spans="1:83" x14ac:dyDescent="0.2">
      <c r="A192" s="6" t="s">
        <v>803</v>
      </c>
      <c r="B192" s="24">
        <v>45751.252395833333</v>
      </c>
      <c r="C192" s="6" t="s">
        <v>576</v>
      </c>
      <c r="D192" s="6" t="s">
        <v>193</v>
      </c>
      <c r="E192" s="6">
        <v>6938</v>
      </c>
      <c r="F192" s="6">
        <v>28649.040000000001</v>
      </c>
      <c r="G192" s="6">
        <v>6969</v>
      </c>
      <c r="H192" s="6">
        <v>294</v>
      </c>
      <c r="I192" s="6">
        <v>12.148999999999999</v>
      </c>
      <c r="J192" s="6">
        <v>4.1260000000000003</v>
      </c>
      <c r="K192" s="6" t="b">
        <v>1</v>
      </c>
      <c r="L192" s="6">
        <v>145</v>
      </c>
      <c r="M192" s="6">
        <v>123</v>
      </c>
      <c r="O192" s="6">
        <v>973</v>
      </c>
      <c r="T192" s="6">
        <v>64.690380000000005</v>
      </c>
      <c r="U192" s="6">
        <v>81</v>
      </c>
      <c r="X192" s="6">
        <v>4.1292933999999999</v>
      </c>
      <c r="Y192" s="6">
        <v>34.73874</v>
      </c>
      <c r="Z192" s="6">
        <v>19.374811000000001</v>
      </c>
      <c r="AA192" s="6">
        <v>156</v>
      </c>
      <c r="AE192" s="6" t="b">
        <v>0</v>
      </c>
      <c r="AF192" s="6" t="b">
        <v>0</v>
      </c>
      <c r="AH192" s="6">
        <v>257</v>
      </c>
      <c r="AM192" s="6">
        <v>81</v>
      </c>
      <c r="AO192" s="6">
        <v>52</v>
      </c>
      <c r="AP192" s="6">
        <v>155</v>
      </c>
      <c r="AQ192" s="6">
        <v>124</v>
      </c>
      <c r="AR192" s="6">
        <v>138</v>
      </c>
      <c r="AS192" s="6">
        <v>144</v>
      </c>
      <c r="AT192" s="6">
        <v>154</v>
      </c>
      <c r="AU192" s="6">
        <v>158</v>
      </c>
      <c r="AV192" s="6">
        <v>163</v>
      </c>
      <c r="AW192" s="6">
        <v>190</v>
      </c>
      <c r="AX192" s="6">
        <v>4769</v>
      </c>
      <c r="AY192" s="6">
        <v>1586</v>
      </c>
      <c r="AZ192" s="6">
        <v>576</v>
      </c>
      <c r="BA192" s="6">
        <v>13</v>
      </c>
      <c r="BB192" s="6">
        <v>0</v>
      </c>
      <c r="BC192" s="6">
        <v>0</v>
      </c>
      <c r="BD192" s="6">
        <v>0</v>
      </c>
      <c r="BM192" s="6">
        <v>90</v>
      </c>
      <c r="BN192" s="6" t="b">
        <v>0</v>
      </c>
      <c r="BO192" s="6" t="b">
        <v>0</v>
      </c>
      <c r="BP192" s="6" t="b">
        <v>0</v>
      </c>
      <c r="BQ192" s="6">
        <v>6968</v>
      </c>
      <c r="BR192" s="6">
        <v>1200</v>
      </c>
      <c r="BS192" s="6">
        <v>600</v>
      </c>
      <c r="CA192" s="6" t="s">
        <v>804</v>
      </c>
      <c r="CB192" s="6" t="s">
        <v>802</v>
      </c>
      <c r="CD192" s="6" t="s">
        <v>196</v>
      </c>
      <c r="CE192" s="6">
        <v>18728982080</v>
      </c>
    </row>
    <row r="193" spans="1:83" x14ac:dyDescent="0.2">
      <c r="A193" s="6" t="s">
        <v>805</v>
      </c>
      <c r="B193" s="24">
        <v>45748.292557870373</v>
      </c>
      <c r="C193" s="6" t="s">
        <v>576</v>
      </c>
      <c r="D193" s="6" t="s">
        <v>193</v>
      </c>
      <c r="E193" s="6">
        <v>11545</v>
      </c>
      <c r="F193" s="6">
        <v>45292.46</v>
      </c>
      <c r="G193" s="6">
        <v>11787</v>
      </c>
      <c r="H193" s="6">
        <v>659</v>
      </c>
      <c r="I193" s="6">
        <v>11.682</v>
      </c>
      <c r="J193" s="6">
        <v>3.9180000000000001</v>
      </c>
      <c r="K193" s="6" t="b">
        <v>1</v>
      </c>
      <c r="L193" s="6">
        <v>153</v>
      </c>
      <c r="M193" s="6">
        <v>130</v>
      </c>
      <c r="O193" s="6">
        <v>1821</v>
      </c>
      <c r="T193" s="6">
        <v>72.788864000000004</v>
      </c>
      <c r="U193" s="6">
        <v>171</v>
      </c>
      <c r="X193" s="6">
        <v>3.9231235999999998</v>
      </c>
      <c r="Y193" s="6">
        <v>36.773739999999997</v>
      </c>
      <c r="Z193" s="6">
        <v>18.762450000000001</v>
      </c>
      <c r="AA193" s="6">
        <v>156</v>
      </c>
      <c r="AE193" s="6" t="b">
        <v>0</v>
      </c>
      <c r="AF193" s="6" t="b">
        <v>0</v>
      </c>
      <c r="AH193" s="6">
        <v>257</v>
      </c>
      <c r="AM193" s="6">
        <v>171</v>
      </c>
      <c r="AO193" s="6">
        <v>52</v>
      </c>
      <c r="AP193" s="6">
        <v>155</v>
      </c>
      <c r="AQ193" s="6">
        <v>124</v>
      </c>
      <c r="AR193" s="6">
        <v>138</v>
      </c>
      <c r="AS193" s="6">
        <v>144</v>
      </c>
      <c r="AT193" s="6">
        <v>154</v>
      </c>
      <c r="AU193" s="6">
        <v>158</v>
      </c>
      <c r="AV193" s="6">
        <v>163</v>
      </c>
      <c r="AW193" s="6">
        <v>190</v>
      </c>
      <c r="AX193" s="6">
        <v>3649</v>
      </c>
      <c r="AY193" s="6">
        <v>5489</v>
      </c>
      <c r="AZ193" s="6">
        <v>1785</v>
      </c>
      <c r="BA193" s="6">
        <v>637</v>
      </c>
      <c r="BB193" s="6">
        <v>0</v>
      </c>
      <c r="BC193" s="6">
        <v>0</v>
      </c>
      <c r="BD193" s="6">
        <v>0</v>
      </c>
      <c r="BM193" s="6">
        <v>90</v>
      </c>
      <c r="BN193" s="6" t="b">
        <v>0</v>
      </c>
      <c r="BO193" s="6" t="b">
        <v>0</v>
      </c>
      <c r="BP193" s="6" t="b">
        <v>0</v>
      </c>
      <c r="BQ193" s="6">
        <v>11619</v>
      </c>
      <c r="BR193" s="6">
        <v>1200</v>
      </c>
      <c r="BS193" s="6">
        <v>600</v>
      </c>
      <c r="CA193" s="6" t="s">
        <v>806</v>
      </c>
      <c r="CB193" s="6" t="s">
        <v>802</v>
      </c>
      <c r="CD193" s="6" t="s">
        <v>196</v>
      </c>
      <c r="CE193" s="6">
        <v>18700634287</v>
      </c>
    </row>
    <row r="194" spans="1:83" x14ac:dyDescent="0.2">
      <c r="A194" s="6" t="s">
        <v>807</v>
      </c>
      <c r="B194" s="24">
        <v>45747.394166666665</v>
      </c>
      <c r="C194" s="6" t="s">
        <v>725</v>
      </c>
      <c r="D194" s="6" t="s">
        <v>726</v>
      </c>
      <c r="E194" s="6">
        <v>2041</v>
      </c>
      <c r="F194" s="6"/>
      <c r="G194" s="6">
        <v>2041</v>
      </c>
      <c r="H194" s="6">
        <v>0</v>
      </c>
      <c r="I194" s="6"/>
      <c r="J194" s="6">
        <v>0</v>
      </c>
      <c r="K194" s="6" t="b">
        <v>1</v>
      </c>
      <c r="L194" s="6">
        <v>137</v>
      </c>
      <c r="M194" s="6">
        <v>103</v>
      </c>
      <c r="O194" s="6">
        <v>225</v>
      </c>
      <c r="T194" s="6">
        <v>47.896949999999997</v>
      </c>
      <c r="U194" s="6">
        <v>13</v>
      </c>
      <c r="X194" s="6"/>
      <c r="Y194" s="6">
        <v>16.161282</v>
      </c>
      <c r="Z194" s="6">
        <v>15.094251</v>
      </c>
      <c r="AA194" s="6"/>
      <c r="AE194" s="6" t="b">
        <v>0</v>
      </c>
      <c r="AF194" s="6" t="b">
        <v>0</v>
      </c>
      <c r="AH194" s="6"/>
      <c r="AM194" s="6">
        <v>13</v>
      </c>
      <c r="AO194" s="6">
        <v>52</v>
      </c>
      <c r="AP194" s="6">
        <v>155</v>
      </c>
      <c r="AQ194" s="6">
        <v>130</v>
      </c>
      <c r="AR194" s="6">
        <v>138</v>
      </c>
      <c r="AS194" s="6">
        <v>146</v>
      </c>
      <c r="AT194" s="6">
        <v>154</v>
      </c>
      <c r="AU194" s="6">
        <v>158</v>
      </c>
      <c r="AV194" s="6">
        <v>163</v>
      </c>
      <c r="AW194" s="6">
        <v>171</v>
      </c>
      <c r="AX194" s="6">
        <v>1951</v>
      </c>
      <c r="AY194" s="6">
        <v>91</v>
      </c>
      <c r="AZ194" s="6">
        <v>0</v>
      </c>
      <c r="BA194" s="6">
        <v>0</v>
      </c>
      <c r="BB194" s="6">
        <v>0</v>
      </c>
      <c r="BC194" s="6">
        <v>0</v>
      </c>
      <c r="BD194" s="6">
        <v>0</v>
      </c>
      <c r="BM194" s="6">
        <v>90</v>
      </c>
      <c r="BN194" s="6" t="b">
        <v>0</v>
      </c>
      <c r="BO194" s="6" t="b">
        <v>0</v>
      </c>
      <c r="BP194" s="6" t="b">
        <v>0</v>
      </c>
      <c r="BQ194" s="6">
        <v>2040</v>
      </c>
      <c r="BR194" s="6">
        <v>0</v>
      </c>
      <c r="BS194" s="6">
        <v>0</v>
      </c>
      <c r="CA194" s="6" t="s">
        <v>808</v>
      </c>
      <c r="CB194" s="6" t="s">
        <v>809</v>
      </c>
      <c r="CD194" s="6" t="s">
        <v>196</v>
      </c>
      <c r="CE194" s="6">
        <v>18690923736</v>
      </c>
    </row>
    <row r="195" spans="1:83" x14ac:dyDescent="0.2">
      <c r="A195" s="6" t="s">
        <v>810</v>
      </c>
      <c r="B195" s="24">
        <v>45744.275300925925</v>
      </c>
      <c r="C195" s="6" t="s">
        <v>576</v>
      </c>
      <c r="D195" s="6" t="s">
        <v>193</v>
      </c>
      <c r="E195" s="6">
        <v>6362</v>
      </c>
      <c r="F195" s="6">
        <v>24524.44</v>
      </c>
      <c r="G195" s="6">
        <v>6509</v>
      </c>
      <c r="H195" s="6">
        <v>356</v>
      </c>
      <c r="I195" s="6">
        <v>11.122</v>
      </c>
      <c r="J195" s="6">
        <v>3.847</v>
      </c>
      <c r="K195" s="6" t="b">
        <v>1</v>
      </c>
      <c r="L195" s="6">
        <v>144</v>
      </c>
      <c r="M195" s="6">
        <v>120</v>
      </c>
      <c r="O195" s="6">
        <v>839</v>
      </c>
      <c r="T195" s="6">
        <v>62.680979999999998</v>
      </c>
      <c r="U195" s="6">
        <v>70</v>
      </c>
      <c r="X195" s="6">
        <v>3.8548317000000001</v>
      </c>
      <c r="Y195" s="6">
        <v>22.152023</v>
      </c>
      <c r="Z195" s="6">
        <v>16.211850999999999</v>
      </c>
      <c r="AA195" s="6">
        <v>156</v>
      </c>
      <c r="AE195" s="6" t="b">
        <v>0</v>
      </c>
      <c r="AF195" s="6" t="b">
        <v>0</v>
      </c>
      <c r="AH195" s="6">
        <v>257</v>
      </c>
      <c r="AM195" s="6">
        <v>70</v>
      </c>
      <c r="AO195" s="6">
        <v>52</v>
      </c>
      <c r="AP195" s="6">
        <v>155</v>
      </c>
      <c r="AQ195" s="6">
        <v>124</v>
      </c>
      <c r="AR195" s="6">
        <v>138</v>
      </c>
      <c r="AS195" s="6">
        <v>144</v>
      </c>
      <c r="AT195" s="6">
        <v>154</v>
      </c>
      <c r="AU195" s="6">
        <v>158</v>
      </c>
      <c r="AV195" s="6">
        <v>163</v>
      </c>
      <c r="AW195" s="6">
        <v>190</v>
      </c>
      <c r="AX195" s="6">
        <v>4596</v>
      </c>
      <c r="AY195" s="6">
        <v>1464</v>
      </c>
      <c r="AZ195" s="6">
        <v>310</v>
      </c>
      <c r="BA195" s="6">
        <v>0</v>
      </c>
      <c r="BB195" s="6">
        <v>0</v>
      </c>
      <c r="BC195" s="6">
        <v>0</v>
      </c>
      <c r="BD195" s="6">
        <v>0</v>
      </c>
      <c r="BM195" s="6">
        <v>90</v>
      </c>
      <c r="BN195" s="6" t="b">
        <v>0</v>
      </c>
      <c r="BO195" s="6" t="b">
        <v>0</v>
      </c>
      <c r="BP195" s="6" t="b">
        <v>0</v>
      </c>
      <c r="BQ195" s="6">
        <v>6414</v>
      </c>
      <c r="BR195" s="6">
        <v>1200</v>
      </c>
      <c r="BS195" s="6">
        <v>600</v>
      </c>
      <c r="CA195" s="6" t="s">
        <v>811</v>
      </c>
      <c r="CB195" s="6" t="s">
        <v>802</v>
      </c>
      <c r="CD195" s="6" t="s">
        <v>196</v>
      </c>
      <c r="CE195" s="6">
        <v>18661918277</v>
      </c>
    </row>
    <row r="196" spans="1:83" x14ac:dyDescent="0.2">
      <c r="A196" s="6" t="s">
        <v>812</v>
      </c>
      <c r="B196" s="24">
        <v>45741.36109953704</v>
      </c>
      <c r="C196" s="6" t="s">
        <v>725</v>
      </c>
      <c r="D196" s="6" t="s">
        <v>726</v>
      </c>
      <c r="E196" s="6">
        <v>1800</v>
      </c>
      <c r="F196" s="6"/>
      <c r="G196" s="6">
        <v>1800</v>
      </c>
      <c r="H196" s="6">
        <v>0</v>
      </c>
      <c r="I196" s="6"/>
      <c r="J196" s="6">
        <v>0</v>
      </c>
      <c r="K196" s="6" t="b">
        <v>1</v>
      </c>
      <c r="L196" s="6">
        <v>119</v>
      </c>
      <c r="M196" s="6">
        <v>91</v>
      </c>
      <c r="O196" s="6">
        <v>132</v>
      </c>
      <c r="T196" s="6">
        <v>37.426969999999997</v>
      </c>
      <c r="U196" s="6">
        <v>7</v>
      </c>
      <c r="X196" s="6"/>
      <c r="Y196" s="6">
        <v>19.700195000000001</v>
      </c>
      <c r="Z196" s="6">
        <v>15.643272</v>
      </c>
      <c r="AA196" s="6"/>
      <c r="AE196" s="6" t="b">
        <v>0</v>
      </c>
      <c r="AF196" s="6" t="b">
        <v>0</v>
      </c>
      <c r="AH196" s="6"/>
      <c r="AM196" s="6">
        <v>7</v>
      </c>
      <c r="AO196" s="6">
        <v>52</v>
      </c>
      <c r="AP196" s="6">
        <v>155</v>
      </c>
      <c r="AQ196" s="6">
        <v>130</v>
      </c>
      <c r="AR196" s="6">
        <v>138</v>
      </c>
      <c r="AS196" s="6">
        <v>146</v>
      </c>
      <c r="AT196" s="6">
        <v>154</v>
      </c>
      <c r="AU196" s="6">
        <v>158</v>
      </c>
      <c r="AV196" s="6">
        <v>163</v>
      </c>
      <c r="AW196" s="6">
        <v>171</v>
      </c>
      <c r="AX196" s="6">
        <v>1790</v>
      </c>
      <c r="AY196" s="6">
        <v>0</v>
      </c>
      <c r="AZ196" s="6">
        <v>0</v>
      </c>
      <c r="BA196" s="6">
        <v>0</v>
      </c>
      <c r="BB196" s="6">
        <v>0</v>
      </c>
      <c r="BC196" s="6">
        <v>0</v>
      </c>
      <c r="BD196" s="6">
        <v>0</v>
      </c>
      <c r="BM196" s="6">
        <v>90</v>
      </c>
      <c r="BN196" s="6" t="b">
        <v>0</v>
      </c>
      <c r="BO196" s="6" t="b">
        <v>0</v>
      </c>
      <c r="BP196" s="6" t="b">
        <v>0</v>
      </c>
      <c r="BQ196" s="6">
        <v>1799</v>
      </c>
      <c r="BR196" s="6">
        <v>0</v>
      </c>
      <c r="BS196" s="6">
        <v>0</v>
      </c>
      <c r="CA196" s="6" t="s">
        <v>813</v>
      </c>
      <c r="CB196" s="6" t="s">
        <v>814</v>
      </c>
      <c r="CD196" s="6" t="s">
        <v>196</v>
      </c>
      <c r="CE196" s="6">
        <v>18633418809</v>
      </c>
    </row>
    <row r="197" spans="1:83" x14ac:dyDescent="0.2">
      <c r="A197" s="6" t="s">
        <v>815</v>
      </c>
      <c r="B197" s="24">
        <v>45741.290717592594</v>
      </c>
      <c r="C197" s="6" t="s">
        <v>576</v>
      </c>
      <c r="D197" s="6" t="s">
        <v>193</v>
      </c>
      <c r="E197" s="6">
        <v>5397</v>
      </c>
      <c r="F197" s="6">
        <v>21224.62</v>
      </c>
      <c r="G197" s="6">
        <v>5479</v>
      </c>
      <c r="H197" s="6">
        <v>204</v>
      </c>
      <c r="I197" s="6">
        <v>11.606999999999999</v>
      </c>
      <c r="J197" s="6">
        <v>3.9260000000000002</v>
      </c>
      <c r="K197" s="6" t="b">
        <v>1</v>
      </c>
      <c r="L197" s="6">
        <v>133</v>
      </c>
      <c r="M197" s="6">
        <v>109</v>
      </c>
      <c r="O197" s="6">
        <v>642</v>
      </c>
      <c r="T197" s="6">
        <v>53.398069999999997</v>
      </c>
      <c r="U197" s="6">
        <v>43</v>
      </c>
      <c r="X197" s="6">
        <v>3.9326699000000001</v>
      </c>
      <c r="Y197" s="6">
        <v>19.700195000000001</v>
      </c>
      <c r="Z197" s="6">
        <v>15.643272</v>
      </c>
      <c r="AA197" s="6">
        <v>157</v>
      </c>
      <c r="AE197" s="6" t="b">
        <v>0</v>
      </c>
      <c r="AF197" s="6" t="b">
        <v>0</v>
      </c>
      <c r="AH197" s="6">
        <v>257</v>
      </c>
      <c r="AM197" s="6">
        <v>43</v>
      </c>
      <c r="AO197" s="6">
        <v>52</v>
      </c>
      <c r="AP197" s="6">
        <v>155</v>
      </c>
      <c r="AQ197" s="6">
        <v>124</v>
      </c>
      <c r="AR197" s="6">
        <v>138</v>
      </c>
      <c r="AS197" s="6">
        <v>144</v>
      </c>
      <c r="AT197" s="6">
        <v>154</v>
      </c>
      <c r="AU197" s="6">
        <v>158</v>
      </c>
      <c r="AV197" s="6">
        <v>163</v>
      </c>
      <c r="AW197" s="6">
        <v>190</v>
      </c>
      <c r="AX197" s="6">
        <v>5090</v>
      </c>
      <c r="AY197" s="6">
        <v>315</v>
      </c>
      <c r="AZ197" s="6">
        <v>0</v>
      </c>
      <c r="BA197" s="6">
        <v>0</v>
      </c>
      <c r="BB197" s="6">
        <v>0</v>
      </c>
      <c r="BC197" s="6">
        <v>0</v>
      </c>
      <c r="BD197" s="6">
        <v>0</v>
      </c>
      <c r="BM197" s="6">
        <v>90</v>
      </c>
      <c r="BN197" s="6" t="b">
        <v>0</v>
      </c>
      <c r="BO197" s="6" t="b">
        <v>0</v>
      </c>
      <c r="BP197" s="6" t="b">
        <v>0</v>
      </c>
      <c r="BQ197" s="6">
        <v>5429</v>
      </c>
      <c r="BR197" s="6">
        <v>1200</v>
      </c>
      <c r="BS197" s="6">
        <v>600</v>
      </c>
      <c r="CA197" s="6" t="s">
        <v>816</v>
      </c>
      <c r="CB197" s="6" t="s">
        <v>817</v>
      </c>
      <c r="CD197" s="6" t="s">
        <v>196</v>
      </c>
      <c r="CE197" s="6">
        <v>18633061258</v>
      </c>
    </row>
    <row r="198" spans="1:83" x14ac:dyDescent="0.2">
      <c r="A198" s="6" t="s">
        <v>818</v>
      </c>
      <c r="B198" s="24">
        <v>45734.264537037037</v>
      </c>
      <c r="C198" s="6" t="s">
        <v>725</v>
      </c>
      <c r="D198" s="6" t="s">
        <v>726</v>
      </c>
      <c r="E198" s="6">
        <v>1860</v>
      </c>
      <c r="F198" s="6"/>
      <c r="G198" s="6">
        <v>1860</v>
      </c>
      <c r="H198" s="6">
        <v>0</v>
      </c>
      <c r="I198" s="6"/>
      <c r="J198" s="6">
        <v>0</v>
      </c>
      <c r="K198" s="6" t="b">
        <v>1</v>
      </c>
      <c r="L198" s="6">
        <v>115</v>
      </c>
      <c r="M198" s="6">
        <v>86</v>
      </c>
      <c r="O198" s="6">
        <v>132</v>
      </c>
      <c r="T198" s="6">
        <v>34.086875999999997</v>
      </c>
      <c r="U198" s="6">
        <v>6</v>
      </c>
      <c r="X198" s="6"/>
      <c r="Y198" s="6">
        <v>35.457515999999998</v>
      </c>
      <c r="Z198" s="6">
        <v>17.285140999999999</v>
      </c>
      <c r="AA198" s="6"/>
      <c r="AE198" s="6" t="b">
        <v>0</v>
      </c>
      <c r="AF198" s="6" t="b">
        <v>0</v>
      </c>
      <c r="AH198" s="6"/>
      <c r="AM198" s="6">
        <v>6</v>
      </c>
      <c r="AO198" s="6">
        <v>52</v>
      </c>
      <c r="AP198" s="6">
        <v>155</v>
      </c>
      <c r="AQ198" s="6">
        <v>130</v>
      </c>
      <c r="AR198" s="6">
        <v>138</v>
      </c>
      <c r="AS198" s="6">
        <v>146</v>
      </c>
      <c r="AT198" s="6">
        <v>154</v>
      </c>
      <c r="AU198" s="6">
        <v>158</v>
      </c>
      <c r="AV198" s="6">
        <v>163</v>
      </c>
      <c r="AW198" s="6">
        <v>171</v>
      </c>
      <c r="AX198" s="6">
        <v>1861</v>
      </c>
      <c r="AY198" s="6">
        <v>0</v>
      </c>
      <c r="AZ198" s="6">
        <v>0</v>
      </c>
      <c r="BA198" s="6">
        <v>0</v>
      </c>
      <c r="BB198" s="6">
        <v>0</v>
      </c>
      <c r="BC198" s="6">
        <v>0</v>
      </c>
      <c r="BD198" s="6">
        <v>0</v>
      </c>
      <c r="BM198" s="6">
        <v>90</v>
      </c>
      <c r="BN198" s="6" t="b">
        <v>0</v>
      </c>
      <c r="BO198" s="6" t="b">
        <v>0</v>
      </c>
      <c r="BP198" s="6" t="b">
        <v>0</v>
      </c>
      <c r="BQ198" s="6">
        <v>1859</v>
      </c>
      <c r="BR198" s="6">
        <v>0</v>
      </c>
      <c r="BS198" s="6">
        <v>0</v>
      </c>
      <c r="CA198" s="6" t="s">
        <v>819</v>
      </c>
      <c r="CB198" s="6" t="s">
        <v>820</v>
      </c>
      <c r="CD198" s="6" t="s">
        <v>196</v>
      </c>
      <c r="CE198" s="6">
        <v>18565684451</v>
      </c>
    </row>
    <row r="199" spans="1:83" x14ac:dyDescent="0.2">
      <c r="A199" s="6" t="s">
        <v>821</v>
      </c>
      <c r="B199" s="24">
        <v>45733.273113425923</v>
      </c>
      <c r="C199" s="6" t="s">
        <v>822</v>
      </c>
      <c r="D199" s="6" t="s">
        <v>193</v>
      </c>
      <c r="E199" s="6">
        <v>10747</v>
      </c>
      <c r="F199" s="6">
        <v>41732.800000000003</v>
      </c>
      <c r="G199" s="6">
        <v>11011</v>
      </c>
      <c r="H199" s="6">
        <v>675</v>
      </c>
      <c r="I199" s="6">
        <v>11.999000000000001</v>
      </c>
      <c r="J199" s="6">
        <v>3.879</v>
      </c>
      <c r="K199" s="6" t="b">
        <v>1</v>
      </c>
      <c r="L199" s="6">
        <v>141</v>
      </c>
      <c r="M199" s="6">
        <v>124</v>
      </c>
      <c r="N199" s="6"/>
      <c r="O199" s="6">
        <v>1616</v>
      </c>
      <c r="P199" s="6"/>
      <c r="Q199" s="6"/>
      <c r="R199" s="6"/>
      <c r="S199" s="6"/>
      <c r="T199" s="6">
        <v>67.06962</v>
      </c>
      <c r="U199" s="6">
        <v>135</v>
      </c>
      <c r="X199" s="6">
        <v>3.8832046999999998</v>
      </c>
      <c r="Y199" s="6">
        <v>39.981160000000003</v>
      </c>
      <c r="Z199" s="6">
        <v>17.701630000000002</v>
      </c>
      <c r="AA199" s="6">
        <v>157</v>
      </c>
      <c r="AB199" s="6"/>
      <c r="AC199" s="6"/>
      <c r="AE199" s="6" t="b">
        <v>0</v>
      </c>
      <c r="AF199" s="6" t="b">
        <v>0</v>
      </c>
      <c r="AH199" s="6">
        <v>257</v>
      </c>
      <c r="AL199" s="6"/>
      <c r="AM199" s="6">
        <v>135</v>
      </c>
      <c r="AO199" s="6">
        <v>52</v>
      </c>
      <c r="AP199" s="6">
        <v>155</v>
      </c>
      <c r="AQ199" s="6">
        <v>124</v>
      </c>
      <c r="AR199" s="6">
        <v>138</v>
      </c>
      <c r="AS199" s="6">
        <v>144</v>
      </c>
      <c r="AT199" s="6">
        <v>154</v>
      </c>
      <c r="AU199" s="6">
        <v>158</v>
      </c>
      <c r="AV199" s="6">
        <v>163</v>
      </c>
      <c r="AW199" s="6">
        <v>190</v>
      </c>
      <c r="AX199" s="6">
        <v>5220</v>
      </c>
      <c r="AY199" s="6">
        <v>5143</v>
      </c>
      <c r="AZ199" s="6">
        <v>393</v>
      </c>
      <c r="BA199" s="6">
        <v>0</v>
      </c>
      <c r="BB199" s="6">
        <v>0</v>
      </c>
      <c r="BC199" s="6">
        <v>0</v>
      </c>
      <c r="BD199" s="6">
        <v>0</v>
      </c>
      <c r="BE199" s="6"/>
      <c r="BF199" s="6"/>
      <c r="BG199" s="6"/>
      <c r="BH199" s="6"/>
      <c r="BI199" s="6"/>
      <c r="BJ199" s="6"/>
      <c r="BK199" s="6"/>
      <c r="BL199" s="6"/>
      <c r="BM199" s="6">
        <v>90</v>
      </c>
      <c r="BN199" s="6" t="b">
        <v>0</v>
      </c>
      <c r="BO199" s="6" t="b">
        <v>0</v>
      </c>
      <c r="BP199" s="6" t="b">
        <v>0</v>
      </c>
      <c r="BQ199" s="6">
        <v>10804</v>
      </c>
      <c r="BR199" s="6">
        <v>1200</v>
      </c>
      <c r="BS199" s="6">
        <v>600</v>
      </c>
      <c r="BW199" s="6"/>
      <c r="BX199" s="6"/>
      <c r="BY199" s="6"/>
      <c r="BZ199" s="6"/>
      <c r="CA199" s="6" t="s">
        <v>823</v>
      </c>
      <c r="CB199" s="6" t="s">
        <v>817</v>
      </c>
      <c r="CD199" s="6" t="s">
        <v>196</v>
      </c>
      <c r="CE199" s="6">
        <v>18557523530</v>
      </c>
    </row>
    <row r="200" spans="1:83" x14ac:dyDescent="0.2">
      <c r="A200" s="6" t="s">
        <v>824</v>
      </c>
      <c r="B200" s="24">
        <v>45731.251493055555</v>
      </c>
      <c r="C200" s="6" t="s">
        <v>576</v>
      </c>
      <c r="D200" s="6" t="s">
        <v>193</v>
      </c>
      <c r="E200" s="6">
        <v>6584</v>
      </c>
      <c r="F200" s="6">
        <v>29356.99</v>
      </c>
      <c r="G200" s="6">
        <v>6889</v>
      </c>
      <c r="H200" s="6">
        <v>248</v>
      </c>
      <c r="I200" s="6">
        <v>11.914999999999999</v>
      </c>
      <c r="J200" s="6">
        <v>4.4489999999999998</v>
      </c>
      <c r="K200" s="6" t="b">
        <v>1</v>
      </c>
      <c r="L200" s="6">
        <v>144</v>
      </c>
      <c r="M200" s="6">
        <v>120</v>
      </c>
      <c r="N200" s="6"/>
      <c r="O200" s="6">
        <v>948</v>
      </c>
      <c r="P200" s="6"/>
      <c r="Q200" s="6"/>
      <c r="R200" s="6"/>
      <c r="S200" s="6"/>
      <c r="T200" s="6">
        <v>62.878162000000003</v>
      </c>
      <c r="U200" s="6">
        <v>73</v>
      </c>
      <c r="X200" s="6">
        <v>4.4588380000000001</v>
      </c>
      <c r="Y200" s="6">
        <v>29.288544000000002</v>
      </c>
      <c r="Z200" s="6">
        <v>15.233722999999999</v>
      </c>
      <c r="AA200" s="6">
        <v>157</v>
      </c>
      <c r="AB200" s="6"/>
      <c r="AC200" s="6"/>
      <c r="AE200" s="6" t="b">
        <v>0</v>
      </c>
      <c r="AF200" s="6" t="b">
        <v>0</v>
      </c>
      <c r="AH200" s="6">
        <v>257</v>
      </c>
      <c r="AL200" s="6"/>
      <c r="AM200" s="6">
        <v>73</v>
      </c>
      <c r="AO200" s="6">
        <v>52</v>
      </c>
      <c r="AP200" s="6">
        <v>155</v>
      </c>
      <c r="AQ200" s="6">
        <v>124</v>
      </c>
      <c r="AR200" s="6">
        <v>138</v>
      </c>
      <c r="AS200" s="6">
        <v>144</v>
      </c>
      <c r="AT200" s="6">
        <v>154</v>
      </c>
      <c r="AU200" s="6">
        <v>158</v>
      </c>
      <c r="AV200" s="6">
        <v>163</v>
      </c>
      <c r="AW200" s="6">
        <v>190</v>
      </c>
      <c r="AX200" s="6">
        <v>4660</v>
      </c>
      <c r="AY200" s="6">
        <v>1758</v>
      </c>
      <c r="AZ200" s="6">
        <v>171</v>
      </c>
      <c r="BA200" s="6">
        <v>0</v>
      </c>
      <c r="BB200" s="6">
        <v>0</v>
      </c>
      <c r="BC200" s="6">
        <v>0</v>
      </c>
      <c r="BD200" s="6">
        <v>0</v>
      </c>
      <c r="BE200" s="6"/>
      <c r="BF200" s="6"/>
      <c r="BG200" s="6"/>
      <c r="BH200" s="6"/>
      <c r="BI200" s="6"/>
      <c r="BJ200" s="6"/>
      <c r="BK200" s="6"/>
      <c r="BL200" s="6"/>
      <c r="BM200" s="6">
        <v>90</v>
      </c>
      <c r="BN200" s="6" t="b">
        <v>0</v>
      </c>
      <c r="BO200" s="6" t="b">
        <v>0</v>
      </c>
      <c r="BP200" s="6" t="b">
        <v>0</v>
      </c>
      <c r="BQ200" s="6">
        <v>6647</v>
      </c>
      <c r="BR200" s="6">
        <v>1200</v>
      </c>
      <c r="BS200" s="6">
        <v>600</v>
      </c>
      <c r="BW200" s="6"/>
      <c r="BX200" s="6"/>
      <c r="BY200" s="6"/>
      <c r="BZ200" s="6"/>
      <c r="CA200" s="6" t="s">
        <v>825</v>
      </c>
      <c r="CB200" s="6" t="s">
        <v>817</v>
      </c>
      <c r="CD200" s="6" t="s">
        <v>196</v>
      </c>
      <c r="CE200" s="6">
        <v>18539124875</v>
      </c>
    </row>
    <row r="201" spans="1:83" x14ac:dyDescent="0.2">
      <c r="A201" s="6" t="s">
        <v>826</v>
      </c>
      <c r="B201" s="24">
        <v>45729.21292824074</v>
      </c>
      <c r="C201" s="6" t="s">
        <v>827</v>
      </c>
      <c r="D201" s="6" t="s">
        <v>719</v>
      </c>
      <c r="E201" s="6">
        <v>5513</v>
      </c>
      <c r="F201" s="6">
        <v>39747.71</v>
      </c>
      <c r="G201" s="6">
        <v>5513</v>
      </c>
      <c r="H201" s="6">
        <v>51</v>
      </c>
      <c r="I201" s="6">
        <v>9.1999999999999993</v>
      </c>
      <c r="J201" s="6">
        <v>7.2110000000000003</v>
      </c>
      <c r="K201" s="6" t="b">
        <v>1</v>
      </c>
      <c r="L201" s="6">
        <v>138</v>
      </c>
      <c r="M201" s="6">
        <v>124</v>
      </c>
      <c r="N201" s="6">
        <v>87.106179999999995</v>
      </c>
      <c r="O201" s="6">
        <v>929</v>
      </c>
      <c r="P201" s="6" t="b">
        <v>1</v>
      </c>
      <c r="Q201" s="6">
        <v>142</v>
      </c>
      <c r="R201" s="6">
        <v>150</v>
      </c>
      <c r="S201" s="6">
        <v>785233</v>
      </c>
      <c r="T201" s="6">
        <v>58.365757000000002</v>
      </c>
      <c r="U201" s="6">
        <v>52</v>
      </c>
      <c r="X201" s="6">
        <v>7.2098149999999999</v>
      </c>
      <c r="Y201" s="6">
        <v>26.042877000000001</v>
      </c>
      <c r="Z201" s="6">
        <v>14.175352999999999</v>
      </c>
      <c r="AA201" s="6">
        <v>157</v>
      </c>
      <c r="AB201" s="6">
        <v>1.0563381000000001</v>
      </c>
      <c r="AC201" s="6">
        <v>1.2096775</v>
      </c>
      <c r="AE201" s="6" t="b">
        <v>0</v>
      </c>
      <c r="AF201" s="6" t="b">
        <v>0</v>
      </c>
      <c r="AH201" s="6">
        <v>257</v>
      </c>
      <c r="AL201" s="6">
        <v>52</v>
      </c>
      <c r="AM201" s="6">
        <v>70</v>
      </c>
      <c r="AO201" s="6">
        <v>52</v>
      </c>
      <c r="AP201" s="6">
        <v>155</v>
      </c>
      <c r="AQ201" s="6">
        <v>124</v>
      </c>
      <c r="AR201" s="6">
        <v>138</v>
      </c>
      <c r="AS201" s="6">
        <v>144</v>
      </c>
      <c r="AT201" s="6">
        <v>154</v>
      </c>
      <c r="AU201" s="6">
        <v>158</v>
      </c>
      <c r="AV201" s="6">
        <v>163</v>
      </c>
      <c r="AW201" s="6">
        <v>190</v>
      </c>
      <c r="AX201" s="6">
        <v>2825</v>
      </c>
      <c r="AY201" s="6">
        <v>2689</v>
      </c>
      <c r="AZ201" s="6"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2322</v>
      </c>
      <c r="BF201" s="6">
        <v>2817</v>
      </c>
      <c r="BG201" s="6">
        <v>309</v>
      </c>
      <c r="BH201" s="6">
        <v>42</v>
      </c>
      <c r="BI201" s="6">
        <v>19</v>
      </c>
      <c r="BJ201" s="6">
        <v>5</v>
      </c>
      <c r="BK201" s="6">
        <v>0</v>
      </c>
      <c r="BL201" s="6">
        <v>74</v>
      </c>
      <c r="BM201" s="6">
        <v>90</v>
      </c>
      <c r="BN201" s="6" t="b">
        <v>0</v>
      </c>
      <c r="BO201" s="6" t="b">
        <v>0</v>
      </c>
      <c r="BP201" s="6" t="b">
        <v>0</v>
      </c>
      <c r="BQ201" s="6">
        <v>5512</v>
      </c>
      <c r="BR201" s="6">
        <v>1200</v>
      </c>
      <c r="BS201" s="6">
        <v>600</v>
      </c>
      <c r="BW201" s="6">
        <v>157</v>
      </c>
      <c r="BX201" s="6">
        <v>154</v>
      </c>
      <c r="BY201" s="6">
        <v>12804</v>
      </c>
      <c r="BZ201" s="6">
        <v>502</v>
      </c>
      <c r="CA201" s="6" t="s">
        <v>828</v>
      </c>
      <c r="CB201" s="6" t="s">
        <v>817</v>
      </c>
      <c r="CD201" s="6" t="s">
        <v>196</v>
      </c>
      <c r="CE201" s="6">
        <v>18520841548</v>
      </c>
    </row>
    <row r="202" spans="1:83" x14ac:dyDescent="0.2">
      <c r="A202" s="6" t="s">
        <v>829</v>
      </c>
      <c r="B202" s="24">
        <v>45728.227395833332</v>
      </c>
      <c r="C202" s="6" t="s">
        <v>827</v>
      </c>
      <c r="D202" s="6" t="s">
        <v>719</v>
      </c>
      <c r="E202" s="6">
        <v>5967</v>
      </c>
      <c r="F202" s="6">
        <v>42474.99</v>
      </c>
      <c r="G202" s="6">
        <v>5995</v>
      </c>
      <c r="H202" s="6">
        <v>51</v>
      </c>
      <c r="I202" s="6">
        <v>9.1720000000000006</v>
      </c>
      <c r="J202" s="6">
        <v>7.1180000000000003</v>
      </c>
      <c r="K202" s="6" t="b">
        <v>1</v>
      </c>
      <c r="L202" s="6">
        <v>139</v>
      </c>
      <c r="M202" s="6">
        <v>118</v>
      </c>
      <c r="N202" s="6">
        <v>86.838759999999994</v>
      </c>
      <c r="O202" s="6">
        <v>983</v>
      </c>
      <c r="P202" s="6" t="b">
        <v>1</v>
      </c>
      <c r="Q202" s="6">
        <v>138</v>
      </c>
      <c r="R202" s="6">
        <v>147</v>
      </c>
      <c r="S202" s="6">
        <v>828247</v>
      </c>
      <c r="T202" s="6">
        <v>57.198444000000002</v>
      </c>
      <c r="U202" s="6">
        <v>54</v>
      </c>
      <c r="X202" s="6">
        <v>7.1183149999999999</v>
      </c>
      <c r="Y202" s="6">
        <v>22.056771999999999</v>
      </c>
      <c r="Z202" s="6">
        <v>13.263959</v>
      </c>
      <c r="AB202" s="6">
        <v>1.0652174000000001</v>
      </c>
      <c r="AC202" s="6">
        <v>1.2457627</v>
      </c>
      <c r="AE202" s="6" t="b">
        <v>0</v>
      </c>
      <c r="AF202" s="6" t="b">
        <v>0</v>
      </c>
      <c r="AH202" s="6">
        <v>257</v>
      </c>
      <c r="AL202" s="6">
        <v>54</v>
      </c>
      <c r="AM202" s="6">
        <v>64</v>
      </c>
      <c r="AO202" s="6">
        <v>52</v>
      </c>
      <c r="AP202" s="6">
        <v>155</v>
      </c>
      <c r="AQ202" s="6">
        <v>124</v>
      </c>
      <c r="AR202" s="6">
        <v>138</v>
      </c>
      <c r="AS202" s="6">
        <v>144</v>
      </c>
      <c r="AT202" s="6">
        <v>154</v>
      </c>
      <c r="AU202" s="6">
        <v>158</v>
      </c>
      <c r="AV202" s="6">
        <v>163</v>
      </c>
      <c r="AW202" s="6">
        <v>190</v>
      </c>
      <c r="AX202" s="6">
        <v>5377</v>
      </c>
      <c r="AY202" s="6">
        <v>576</v>
      </c>
      <c r="AZ202" s="6">
        <v>14</v>
      </c>
      <c r="BA202" s="6">
        <v>0</v>
      </c>
      <c r="BB202" s="6">
        <v>0</v>
      </c>
      <c r="BC202" s="6">
        <v>0</v>
      </c>
      <c r="BD202" s="6">
        <v>0</v>
      </c>
      <c r="BE202" s="6">
        <v>2912</v>
      </c>
      <c r="BF202" s="6">
        <v>2763</v>
      </c>
      <c r="BG202" s="6">
        <v>186</v>
      </c>
      <c r="BH202" s="6">
        <v>53</v>
      </c>
      <c r="BI202" s="6">
        <v>29</v>
      </c>
      <c r="BJ202" s="6">
        <v>22</v>
      </c>
      <c r="BK202" s="6">
        <v>2</v>
      </c>
      <c r="BL202" s="6">
        <v>84</v>
      </c>
      <c r="BM202" s="6">
        <v>90</v>
      </c>
      <c r="BN202" s="6" t="b">
        <v>0</v>
      </c>
      <c r="BO202" s="6" t="b">
        <v>0</v>
      </c>
      <c r="BP202" s="6" t="b">
        <v>0</v>
      </c>
      <c r="BQ202" s="6">
        <v>5994</v>
      </c>
      <c r="BR202" s="6">
        <v>1200</v>
      </c>
      <c r="BS202" s="6">
        <v>600</v>
      </c>
      <c r="BT202" s="6"/>
      <c r="BU202" s="6"/>
      <c r="BW202" s="6">
        <v>154</v>
      </c>
      <c r="BX202" s="6">
        <v>151</v>
      </c>
      <c r="BY202" s="6">
        <v>11693</v>
      </c>
      <c r="BZ202" s="6">
        <v>583</v>
      </c>
      <c r="CA202" s="6" t="s">
        <v>830</v>
      </c>
      <c r="CB202" s="6" t="s">
        <v>831</v>
      </c>
      <c r="CD202" s="6" t="s">
        <v>196</v>
      </c>
      <c r="CE202" s="6">
        <v>18511866167</v>
      </c>
    </row>
    <row r="203" spans="1:83" x14ac:dyDescent="0.2">
      <c r="A203" s="6" t="s">
        <v>832</v>
      </c>
      <c r="B203" s="24">
        <v>45722.273900462962</v>
      </c>
      <c r="C203" s="6" t="s">
        <v>833</v>
      </c>
      <c r="D203" s="6" t="s">
        <v>193</v>
      </c>
      <c r="E203" s="6">
        <v>7123</v>
      </c>
      <c r="F203" s="6">
        <v>29391.41</v>
      </c>
      <c r="G203" s="6">
        <v>7290</v>
      </c>
      <c r="H203" s="6">
        <v>314</v>
      </c>
      <c r="I203" s="6">
        <v>12.494</v>
      </c>
      <c r="J203" s="6">
        <v>4.1230000000000002</v>
      </c>
      <c r="K203" s="6" t="b">
        <v>1</v>
      </c>
      <c r="L203" s="6">
        <v>154</v>
      </c>
      <c r="M203" s="6">
        <v>127</v>
      </c>
      <c r="O203" s="6">
        <v>1221</v>
      </c>
      <c r="T203" s="6">
        <v>69.635949999999994</v>
      </c>
      <c r="U203" s="6">
        <v>96</v>
      </c>
      <c r="X203" s="6">
        <v>4.1262683999999998</v>
      </c>
      <c r="Y203" s="6">
        <v>35.035651999999999</v>
      </c>
      <c r="Z203" s="6">
        <v>13.8352</v>
      </c>
      <c r="AE203" s="6" t="b">
        <v>0</v>
      </c>
      <c r="AF203" s="6" t="b">
        <v>0</v>
      </c>
      <c r="AH203" s="6">
        <v>257</v>
      </c>
      <c r="AM203" s="6">
        <v>96</v>
      </c>
      <c r="AO203" s="6">
        <v>52</v>
      </c>
      <c r="AP203" s="6">
        <v>155</v>
      </c>
      <c r="AQ203" s="6">
        <v>124</v>
      </c>
      <c r="AR203" s="6">
        <v>138</v>
      </c>
      <c r="AS203" s="6">
        <v>144</v>
      </c>
      <c r="AT203" s="6">
        <v>154</v>
      </c>
      <c r="AU203" s="6">
        <v>158</v>
      </c>
      <c r="AV203" s="6">
        <v>163</v>
      </c>
      <c r="AW203" s="6">
        <v>190</v>
      </c>
      <c r="AX203" s="6">
        <v>3479</v>
      </c>
      <c r="AY203" s="6">
        <v>3000</v>
      </c>
      <c r="AZ203" s="6">
        <v>443</v>
      </c>
      <c r="BA203" s="6">
        <v>206</v>
      </c>
      <c r="BB203" s="6">
        <v>0</v>
      </c>
      <c r="BC203" s="6">
        <v>0</v>
      </c>
      <c r="BD203" s="6">
        <v>0</v>
      </c>
      <c r="BM203" s="6">
        <v>90</v>
      </c>
      <c r="BN203" s="6" t="b">
        <v>0</v>
      </c>
      <c r="BO203" s="6" t="b">
        <v>0</v>
      </c>
      <c r="BP203" s="6" t="b">
        <v>0</v>
      </c>
      <c r="BQ203" s="6">
        <v>7127</v>
      </c>
      <c r="BR203" s="6">
        <v>1200</v>
      </c>
      <c r="BS203" s="6">
        <v>600</v>
      </c>
      <c r="BT203" s="6"/>
      <c r="BU203" s="6"/>
      <c r="CA203" s="6" t="s">
        <v>834</v>
      </c>
      <c r="CB203" s="6" t="s">
        <v>831</v>
      </c>
      <c r="CD203" s="6" t="s">
        <v>196</v>
      </c>
      <c r="CE203" s="6">
        <v>18455470140</v>
      </c>
    </row>
    <row r="204" spans="1:83" x14ac:dyDescent="0.2">
      <c r="A204" s="6" t="s">
        <v>835</v>
      </c>
      <c r="B204" s="24">
        <v>45721.289189814815</v>
      </c>
      <c r="C204" s="6" t="s">
        <v>836</v>
      </c>
      <c r="D204" s="6" t="s">
        <v>193</v>
      </c>
      <c r="E204" s="6">
        <v>3848</v>
      </c>
      <c r="F204" s="6">
        <v>12986.78</v>
      </c>
      <c r="G204" s="6">
        <v>3886</v>
      </c>
      <c r="H204" s="6">
        <v>336</v>
      </c>
      <c r="I204" s="6">
        <v>10.086</v>
      </c>
      <c r="J204" s="6">
        <v>3.371</v>
      </c>
      <c r="K204" s="6" t="b">
        <v>1</v>
      </c>
      <c r="L204" s="6">
        <v>161</v>
      </c>
      <c r="M204" s="6">
        <v>140</v>
      </c>
      <c r="O204" s="6">
        <v>761</v>
      </c>
      <c r="T204" s="6">
        <v>83.365499999999997</v>
      </c>
      <c r="U204" s="6">
        <v>75</v>
      </c>
      <c r="X204" s="6">
        <v>3.3749427999999999</v>
      </c>
      <c r="Y204" s="6">
        <v>25.673663999999999</v>
      </c>
      <c r="Z204" s="6">
        <v>11.855420000000001</v>
      </c>
      <c r="AE204" s="6" t="b">
        <v>0</v>
      </c>
      <c r="AF204" s="6" t="b">
        <v>0</v>
      </c>
      <c r="AH204" s="6">
        <v>257</v>
      </c>
      <c r="AM204" s="6">
        <v>75</v>
      </c>
      <c r="AO204" s="6">
        <v>52</v>
      </c>
      <c r="AP204" s="6">
        <v>155</v>
      </c>
      <c r="AQ204" s="6">
        <v>124</v>
      </c>
      <c r="AR204" s="6">
        <v>138</v>
      </c>
      <c r="AS204" s="6">
        <v>144</v>
      </c>
      <c r="AT204" s="6">
        <v>154</v>
      </c>
      <c r="AU204" s="6">
        <v>158</v>
      </c>
      <c r="AV204" s="6">
        <v>163</v>
      </c>
      <c r="AW204" s="6">
        <v>190</v>
      </c>
      <c r="AX204" s="6">
        <v>1276</v>
      </c>
      <c r="AY204" s="6">
        <v>641</v>
      </c>
      <c r="AZ204" s="6">
        <v>188</v>
      </c>
      <c r="BA204" s="6">
        <v>601</v>
      </c>
      <c r="BB204" s="6">
        <v>1001</v>
      </c>
      <c r="BC204" s="6">
        <v>153</v>
      </c>
      <c r="BD204" s="6">
        <v>0</v>
      </c>
      <c r="BM204" s="6">
        <v>90</v>
      </c>
      <c r="BN204" s="6" t="b">
        <v>0</v>
      </c>
      <c r="BO204" s="6" t="b">
        <v>0</v>
      </c>
      <c r="BP204" s="6" t="b">
        <v>0</v>
      </c>
      <c r="BQ204" s="6">
        <v>3885</v>
      </c>
      <c r="BR204" s="6">
        <v>1200</v>
      </c>
      <c r="BS204" s="6">
        <v>600</v>
      </c>
      <c r="BT204" s="6">
        <v>27</v>
      </c>
      <c r="BU204" s="6">
        <v>157</v>
      </c>
      <c r="CA204" s="6" t="s">
        <v>837</v>
      </c>
      <c r="CB204" s="6" t="s">
        <v>831</v>
      </c>
      <c r="CD204" s="6" t="s">
        <v>196</v>
      </c>
      <c r="CE204" s="6">
        <v>18445820042</v>
      </c>
    </row>
    <row r="205" spans="1:83" x14ac:dyDescent="0.2">
      <c r="A205" s="6" t="s">
        <v>838</v>
      </c>
      <c r="B205" s="24">
        <v>45720.291967592595</v>
      </c>
      <c r="C205" s="6" t="s">
        <v>576</v>
      </c>
      <c r="D205" s="6" t="s">
        <v>193</v>
      </c>
      <c r="E205" s="6">
        <v>4817</v>
      </c>
      <c r="F205" s="6">
        <v>21349.25</v>
      </c>
      <c r="G205" s="6">
        <v>4906</v>
      </c>
      <c r="H205" s="6">
        <v>169</v>
      </c>
      <c r="I205" s="6">
        <v>10.693</v>
      </c>
      <c r="J205" s="6">
        <v>4.4269999999999996</v>
      </c>
      <c r="K205" s="6" t="b">
        <v>1</v>
      </c>
      <c r="L205" s="6">
        <v>143</v>
      </c>
      <c r="M205" s="6">
        <v>117</v>
      </c>
      <c r="O205" s="6">
        <v>745</v>
      </c>
      <c r="T205" s="6">
        <v>61.724539999999998</v>
      </c>
      <c r="U205" s="6">
        <v>51</v>
      </c>
      <c r="X205" s="6">
        <v>4.4320636000000002</v>
      </c>
      <c r="Y205" s="6">
        <v>18.098866000000001</v>
      </c>
      <c r="Z205" s="6">
        <v>10.333937000000001</v>
      </c>
      <c r="AE205" s="6" t="b">
        <v>0</v>
      </c>
      <c r="AF205" s="6" t="b">
        <v>0</v>
      </c>
      <c r="AH205" s="6">
        <v>257</v>
      </c>
      <c r="AM205" s="6">
        <v>51</v>
      </c>
      <c r="AO205" s="6">
        <v>52</v>
      </c>
      <c r="AP205" s="6">
        <v>155</v>
      </c>
      <c r="AQ205" s="6">
        <v>124</v>
      </c>
      <c r="AR205" s="6">
        <v>138</v>
      </c>
      <c r="AS205" s="6">
        <v>144</v>
      </c>
      <c r="AT205" s="6">
        <v>154</v>
      </c>
      <c r="AU205" s="6">
        <v>158</v>
      </c>
      <c r="AV205" s="6">
        <v>163</v>
      </c>
      <c r="AW205" s="6">
        <v>190</v>
      </c>
      <c r="AX205" s="6">
        <v>3847</v>
      </c>
      <c r="AY205" s="6">
        <v>971</v>
      </c>
      <c r="AZ205" s="6">
        <v>4</v>
      </c>
      <c r="BA205" s="6">
        <v>0</v>
      </c>
      <c r="BB205" s="6">
        <v>0</v>
      </c>
      <c r="BC205" s="6">
        <v>0</v>
      </c>
      <c r="BD205" s="6">
        <v>0</v>
      </c>
      <c r="BM205" s="6">
        <v>90</v>
      </c>
      <c r="BN205" s="6" t="b">
        <v>0</v>
      </c>
      <c r="BO205" s="6" t="b">
        <v>0</v>
      </c>
      <c r="BP205" s="6" t="b">
        <v>0</v>
      </c>
      <c r="BQ205" s="6">
        <v>4819</v>
      </c>
      <c r="BR205" s="6">
        <v>1200</v>
      </c>
      <c r="BS205" s="6">
        <v>600</v>
      </c>
      <c r="CA205" s="6" t="s">
        <v>839</v>
      </c>
      <c r="CB205" s="6" t="s">
        <v>840</v>
      </c>
      <c r="CD205" s="6" t="s">
        <v>196</v>
      </c>
      <c r="CE205" s="6">
        <v>18436426153</v>
      </c>
    </row>
    <row r="206" spans="1:83" x14ac:dyDescent="0.2">
      <c r="A206" s="6" t="s">
        <v>841</v>
      </c>
      <c r="B206" s="24">
        <v>45716.272013888891</v>
      </c>
      <c r="C206" s="6" t="s">
        <v>833</v>
      </c>
      <c r="D206" s="6" t="s">
        <v>193</v>
      </c>
      <c r="E206" s="6">
        <v>6835</v>
      </c>
      <c r="F206" s="6">
        <v>29378.89</v>
      </c>
      <c r="G206" s="6">
        <v>7231</v>
      </c>
      <c r="H206" s="6">
        <v>310</v>
      </c>
      <c r="I206" s="6">
        <v>11.933999999999999</v>
      </c>
      <c r="J206" s="6">
        <v>4.29</v>
      </c>
      <c r="K206" s="6" t="b">
        <v>1</v>
      </c>
      <c r="L206" s="6">
        <v>142</v>
      </c>
      <c r="M206" s="6">
        <v>118</v>
      </c>
      <c r="O206" s="6">
        <v>1011</v>
      </c>
      <c r="T206" s="6">
        <v>61.392876000000001</v>
      </c>
      <c r="U206" s="6">
        <v>72</v>
      </c>
      <c r="X206" s="6">
        <v>4.2983016999999997</v>
      </c>
      <c r="Y206" s="6">
        <v>20.027048000000001</v>
      </c>
      <c r="Z206" s="6">
        <v>10.046668</v>
      </c>
      <c r="AE206" s="6" t="b">
        <v>0</v>
      </c>
      <c r="AF206" s="6" t="b">
        <v>0</v>
      </c>
      <c r="AH206" s="6">
        <v>257</v>
      </c>
      <c r="AM206" s="6">
        <v>72</v>
      </c>
      <c r="AO206" s="6">
        <v>52</v>
      </c>
      <c r="AP206" s="6">
        <v>155</v>
      </c>
      <c r="AQ206" s="6">
        <v>124</v>
      </c>
      <c r="AR206" s="6">
        <v>138</v>
      </c>
      <c r="AS206" s="6">
        <v>144</v>
      </c>
      <c r="AT206" s="6">
        <v>154</v>
      </c>
      <c r="AU206" s="6">
        <v>158</v>
      </c>
      <c r="AV206" s="6">
        <v>163</v>
      </c>
      <c r="AW206" s="6">
        <v>190</v>
      </c>
      <c r="AX206" s="6">
        <v>5327</v>
      </c>
      <c r="AY206" s="6">
        <v>1444</v>
      </c>
      <c r="AZ206" s="6">
        <v>74</v>
      </c>
      <c r="BA206" s="6">
        <v>0</v>
      </c>
      <c r="BB206" s="6">
        <v>0</v>
      </c>
      <c r="BC206" s="6">
        <v>0</v>
      </c>
      <c r="BD206" s="6">
        <v>0</v>
      </c>
      <c r="BM206" s="6">
        <v>90</v>
      </c>
      <c r="BN206" s="6" t="b">
        <v>0</v>
      </c>
      <c r="BO206" s="6" t="b">
        <v>0</v>
      </c>
      <c r="BP206" s="6" t="b">
        <v>0</v>
      </c>
      <c r="BQ206" s="6">
        <v>6877</v>
      </c>
      <c r="BR206" s="6">
        <v>1200</v>
      </c>
      <c r="BS206" s="6">
        <v>600</v>
      </c>
      <c r="CA206" s="6" t="s">
        <v>842</v>
      </c>
      <c r="CB206" s="6" t="s">
        <v>840</v>
      </c>
      <c r="CD206" s="6" t="s">
        <v>196</v>
      </c>
      <c r="CE206" s="6">
        <v>18400430408</v>
      </c>
    </row>
    <row r="207" spans="1:83" x14ac:dyDescent="0.2">
      <c r="A207" s="6" t="s">
        <v>843</v>
      </c>
      <c r="B207" s="24">
        <v>45714.349386574075</v>
      </c>
      <c r="C207" s="6" t="s">
        <v>725</v>
      </c>
      <c r="D207" s="6" t="s">
        <v>726</v>
      </c>
      <c r="E207" s="6">
        <v>1801</v>
      </c>
      <c r="F207" s="6"/>
      <c r="G207" s="6">
        <v>1801</v>
      </c>
      <c r="H207" s="6">
        <v>0</v>
      </c>
      <c r="I207" s="6"/>
      <c r="J207" s="6">
        <v>0</v>
      </c>
      <c r="K207" s="6" t="b">
        <v>1</v>
      </c>
      <c r="L207" s="6">
        <v>121</v>
      </c>
      <c r="M207" s="6">
        <v>91</v>
      </c>
      <c r="O207" s="6">
        <v>141</v>
      </c>
      <c r="T207" s="6">
        <v>37.416573</v>
      </c>
      <c r="U207" s="6">
        <v>7</v>
      </c>
      <c r="X207" s="6"/>
      <c r="Y207" s="6">
        <v>13.89564</v>
      </c>
      <c r="Z207" s="6">
        <v>8.7599959999999992</v>
      </c>
      <c r="AE207" s="6" t="b">
        <v>0</v>
      </c>
      <c r="AF207" s="6" t="b">
        <v>0</v>
      </c>
      <c r="AH207" s="6"/>
      <c r="AM207" s="6">
        <v>7</v>
      </c>
      <c r="AO207" s="6">
        <v>52</v>
      </c>
      <c r="AP207" s="6">
        <v>155</v>
      </c>
      <c r="AQ207" s="6">
        <v>130</v>
      </c>
      <c r="AR207" s="6">
        <v>138</v>
      </c>
      <c r="AS207" s="6">
        <v>146</v>
      </c>
      <c r="AT207" s="6">
        <v>154</v>
      </c>
      <c r="AU207" s="6">
        <v>158</v>
      </c>
      <c r="AV207" s="6">
        <v>163</v>
      </c>
      <c r="AW207" s="6">
        <v>171</v>
      </c>
      <c r="AX207" s="6">
        <v>1802</v>
      </c>
      <c r="AY207" s="6">
        <v>0</v>
      </c>
      <c r="AZ207" s="6">
        <v>0</v>
      </c>
      <c r="BA207" s="6">
        <v>0</v>
      </c>
      <c r="BB207" s="6">
        <v>0</v>
      </c>
      <c r="BC207" s="6">
        <v>0</v>
      </c>
      <c r="BD207" s="6">
        <v>0</v>
      </c>
      <c r="BM207" s="6">
        <v>90</v>
      </c>
      <c r="BN207" s="6" t="b">
        <v>0</v>
      </c>
      <c r="BO207" s="6" t="b">
        <v>0</v>
      </c>
      <c r="BP207" s="6" t="b">
        <v>0</v>
      </c>
      <c r="BQ207" s="6">
        <v>1800</v>
      </c>
      <c r="BR207" s="6">
        <v>0</v>
      </c>
      <c r="BS207" s="6">
        <v>0</v>
      </c>
      <c r="CA207" s="6" t="s">
        <v>844</v>
      </c>
      <c r="CB207" s="6" t="s">
        <v>845</v>
      </c>
      <c r="CD207" s="6" t="s">
        <v>196</v>
      </c>
      <c r="CE207" s="6">
        <v>18382718746</v>
      </c>
    </row>
    <row r="208" spans="1:83" x14ac:dyDescent="0.2">
      <c r="A208" s="6" t="s">
        <v>846</v>
      </c>
      <c r="B208" s="24">
        <v>45712.265960648147</v>
      </c>
      <c r="C208" s="6" t="s">
        <v>725</v>
      </c>
      <c r="D208" s="6" t="s">
        <v>726</v>
      </c>
      <c r="E208" s="6">
        <v>1801</v>
      </c>
      <c r="F208" s="6"/>
      <c r="G208" s="6">
        <v>1801</v>
      </c>
      <c r="H208" s="6">
        <v>0</v>
      </c>
      <c r="I208" s="6"/>
      <c r="J208" s="6">
        <v>0</v>
      </c>
      <c r="K208" s="6" t="b">
        <v>1</v>
      </c>
      <c r="L208" s="6">
        <v>115</v>
      </c>
      <c r="M208" s="6">
        <v>84</v>
      </c>
      <c r="N208" s="6"/>
      <c r="O208" s="6">
        <v>119</v>
      </c>
      <c r="T208" s="6">
        <v>31.622776000000002</v>
      </c>
      <c r="U208" s="6">
        <v>5</v>
      </c>
      <c r="X208" s="6"/>
      <c r="Y208" s="6">
        <v>17.251068</v>
      </c>
      <c r="Z208" s="6">
        <v>9.1872299999999996</v>
      </c>
      <c r="AE208" s="6" t="b">
        <v>0</v>
      </c>
      <c r="AF208" s="6" t="b">
        <v>0</v>
      </c>
      <c r="AH208" s="6"/>
      <c r="AM208" s="6">
        <v>5</v>
      </c>
      <c r="AO208" s="6">
        <v>52</v>
      </c>
      <c r="AP208" s="6">
        <v>155</v>
      </c>
      <c r="AQ208" s="6">
        <v>130</v>
      </c>
      <c r="AR208" s="6">
        <v>138</v>
      </c>
      <c r="AS208" s="6">
        <v>146</v>
      </c>
      <c r="AT208" s="6">
        <v>154</v>
      </c>
      <c r="AU208" s="6">
        <v>158</v>
      </c>
      <c r="AV208" s="6">
        <v>163</v>
      </c>
      <c r="AW208" s="6">
        <v>171</v>
      </c>
      <c r="AX208" s="6">
        <v>1743</v>
      </c>
      <c r="AY208" s="6">
        <v>0</v>
      </c>
      <c r="AZ208" s="6">
        <v>0</v>
      </c>
      <c r="BA208" s="6">
        <v>0</v>
      </c>
      <c r="BB208" s="6">
        <v>0</v>
      </c>
      <c r="BC208" s="6">
        <v>0</v>
      </c>
      <c r="BD208" s="6">
        <v>0</v>
      </c>
      <c r="BM208" s="6">
        <v>90</v>
      </c>
      <c r="BN208" s="6" t="b">
        <v>0</v>
      </c>
      <c r="BO208" s="6" t="b">
        <v>0</v>
      </c>
      <c r="BP208" s="6" t="b">
        <v>0</v>
      </c>
      <c r="BQ208" s="6">
        <v>1800</v>
      </c>
      <c r="BR208" s="6">
        <v>0</v>
      </c>
      <c r="BS208" s="6">
        <v>0</v>
      </c>
      <c r="CA208" s="6" t="s">
        <v>847</v>
      </c>
      <c r="CB208" s="6" t="s">
        <v>848</v>
      </c>
      <c r="CD208" s="6" t="s">
        <v>196</v>
      </c>
      <c r="CE208" s="6">
        <v>18363148670</v>
      </c>
    </row>
    <row r="209" spans="1:83" x14ac:dyDescent="0.2">
      <c r="A209" s="6" t="s">
        <v>849</v>
      </c>
      <c r="B209" s="24">
        <v>45710.283773148149</v>
      </c>
      <c r="C209" s="6" t="s">
        <v>576</v>
      </c>
      <c r="D209" s="6" t="s">
        <v>193</v>
      </c>
      <c r="E209" s="6">
        <v>4579</v>
      </c>
      <c r="F209" s="6">
        <v>15030.51</v>
      </c>
      <c r="G209" s="6">
        <v>4715</v>
      </c>
      <c r="H209" s="6">
        <v>333</v>
      </c>
      <c r="I209" s="6">
        <v>9.8160000000000007</v>
      </c>
      <c r="J209" s="6">
        <v>3.2749999999999999</v>
      </c>
      <c r="K209" s="6" t="b">
        <v>1</v>
      </c>
      <c r="L209" s="6">
        <v>148</v>
      </c>
      <c r="M209" s="6">
        <v>120</v>
      </c>
      <c r="N209" s="6"/>
      <c r="O209" s="6">
        <v>695</v>
      </c>
      <c r="T209" s="6">
        <v>62.897089999999999</v>
      </c>
      <c r="U209" s="6">
        <v>51</v>
      </c>
      <c r="X209" s="6">
        <v>3.2824873999999999</v>
      </c>
      <c r="Y209" s="6">
        <v>22.07047</v>
      </c>
      <c r="Z209" s="6">
        <v>9.6353019999999994</v>
      </c>
      <c r="AE209" s="6" t="b">
        <v>0</v>
      </c>
      <c r="AF209" s="6" t="b">
        <v>0</v>
      </c>
      <c r="AH209" s="6">
        <v>257</v>
      </c>
      <c r="AM209" s="6">
        <v>51</v>
      </c>
      <c r="AO209" s="6">
        <v>52</v>
      </c>
      <c r="AP209" s="6">
        <v>155</v>
      </c>
      <c r="AQ209" s="6">
        <v>124</v>
      </c>
      <c r="AR209" s="6">
        <v>138</v>
      </c>
      <c r="AS209" s="6">
        <v>144</v>
      </c>
      <c r="AT209" s="6">
        <v>154</v>
      </c>
      <c r="AU209" s="6">
        <v>158</v>
      </c>
      <c r="AV209" s="6">
        <v>163</v>
      </c>
      <c r="AW209" s="6">
        <v>190</v>
      </c>
      <c r="AX209" s="6">
        <v>2794</v>
      </c>
      <c r="AY209" s="6">
        <v>1582</v>
      </c>
      <c r="AZ209" s="6">
        <v>199</v>
      </c>
      <c r="BA209" s="6">
        <v>13</v>
      </c>
      <c r="BB209" s="6">
        <v>0</v>
      </c>
      <c r="BC209" s="6">
        <v>0</v>
      </c>
      <c r="BD209" s="6">
        <v>0</v>
      </c>
      <c r="BM209" s="6">
        <v>90</v>
      </c>
      <c r="BN209" s="6" t="b">
        <v>0</v>
      </c>
      <c r="BO209" s="6" t="b">
        <v>0</v>
      </c>
      <c r="BP209" s="6" t="b">
        <v>0</v>
      </c>
      <c r="BQ209" s="6">
        <v>4641</v>
      </c>
      <c r="BR209" s="6">
        <v>1200</v>
      </c>
      <c r="BS209" s="6">
        <v>600</v>
      </c>
      <c r="BT209" s="6"/>
      <c r="BU209" s="6"/>
      <c r="CA209" s="6" t="s">
        <v>850</v>
      </c>
      <c r="CB209" s="6" t="s">
        <v>840</v>
      </c>
      <c r="CD209" s="6" t="s">
        <v>196</v>
      </c>
      <c r="CE209" s="6">
        <v>18345819815</v>
      </c>
    </row>
    <row r="210" spans="1:83" x14ac:dyDescent="0.2">
      <c r="A210" s="6" t="s">
        <v>851</v>
      </c>
      <c r="B210" s="24">
        <v>45705.788587962961</v>
      </c>
      <c r="C210" s="6" t="s">
        <v>852</v>
      </c>
      <c r="D210" s="6" t="s">
        <v>853</v>
      </c>
      <c r="E210" s="6">
        <v>1799</v>
      </c>
      <c r="F210" s="6">
        <v>2354.9499999999998</v>
      </c>
      <c r="G210" s="6">
        <v>1800</v>
      </c>
      <c r="H210" s="6">
        <v>4</v>
      </c>
      <c r="I210" s="6">
        <v>1.698</v>
      </c>
      <c r="J210" s="6">
        <v>1.3080000000000001</v>
      </c>
      <c r="K210" s="6" t="b">
        <v>1</v>
      </c>
      <c r="L210" s="6">
        <v>90</v>
      </c>
      <c r="M210" s="6">
        <v>82</v>
      </c>
      <c r="N210" s="6">
        <v>55.058365000000002</v>
      </c>
      <c r="O210" s="6">
        <v>148</v>
      </c>
      <c r="T210" s="6">
        <v>31.631564999999998</v>
      </c>
      <c r="U210" s="6">
        <v>5</v>
      </c>
      <c r="X210" s="6">
        <v>1.3090328</v>
      </c>
      <c r="Y210" s="6">
        <v>31.215408</v>
      </c>
      <c r="Z210" s="6">
        <v>9.5017849999999999</v>
      </c>
      <c r="AE210" s="6" t="b">
        <v>0</v>
      </c>
      <c r="AF210" s="6" t="b">
        <v>0</v>
      </c>
      <c r="AH210" s="6"/>
      <c r="AM210" s="6">
        <v>5</v>
      </c>
      <c r="AO210" s="6">
        <v>52</v>
      </c>
      <c r="AP210" s="6">
        <v>155</v>
      </c>
      <c r="AQ210" s="6">
        <v>130</v>
      </c>
      <c r="AR210" s="6">
        <v>138</v>
      </c>
      <c r="AS210" s="6">
        <v>146</v>
      </c>
      <c r="AT210" s="6">
        <v>154</v>
      </c>
      <c r="AU210" s="6">
        <v>158</v>
      </c>
      <c r="AV210" s="6">
        <v>163</v>
      </c>
      <c r="AW210" s="6">
        <v>171</v>
      </c>
      <c r="AX210" s="6">
        <v>1800</v>
      </c>
      <c r="AY210" s="6">
        <v>0</v>
      </c>
      <c r="AZ210" s="6">
        <v>0</v>
      </c>
      <c r="BA210" s="6">
        <v>0</v>
      </c>
      <c r="BB210" s="6">
        <v>0</v>
      </c>
      <c r="BC210" s="6">
        <v>0</v>
      </c>
      <c r="BD210" s="6">
        <v>0</v>
      </c>
      <c r="BM210" s="6">
        <v>90</v>
      </c>
      <c r="BN210" s="6" t="b">
        <v>0</v>
      </c>
      <c r="BO210" s="6" t="b">
        <v>0</v>
      </c>
      <c r="BP210" s="6" t="b">
        <v>0</v>
      </c>
      <c r="BQ210" s="6">
        <v>1799</v>
      </c>
      <c r="BR210" s="6">
        <v>0</v>
      </c>
      <c r="BS210" s="6">
        <v>0</v>
      </c>
      <c r="BT210" s="6"/>
      <c r="BU210" s="6"/>
      <c r="CA210" s="6" t="s">
        <v>854</v>
      </c>
      <c r="CB210" s="6" t="s">
        <v>855</v>
      </c>
      <c r="CD210" s="6" t="s">
        <v>196</v>
      </c>
      <c r="CE210" s="6">
        <v>18306080487</v>
      </c>
    </row>
    <row r="211" spans="1:83" x14ac:dyDescent="0.2">
      <c r="A211" s="6" t="s">
        <v>856</v>
      </c>
      <c r="B211" s="24">
        <v>45701.30064814815</v>
      </c>
      <c r="C211" s="6" t="s">
        <v>857</v>
      </c>
      <c r="D211" s="6" t="s">
        <v>853</v>
      </c>
      <c r="E211" s="6">
        <v>18584</v>
      </c>
      <c r="F211" s="6">
        <v>15099.17</v>
      </c>
      <c r="G211" s="6">
        <v>20159</v>
      </c>
      <c r="H211" s="6">
        <v>1180</v>
      </c>
      <c r="I211" s="6">
        <v>2.8180000000000001</v>
      </c>
      <c r="J211" s="6">
        <v>0.749</v>
      </c>
      <c r="K211" s="6" t="b">
        <v>1</v>
      </c>
      <c r="L211" s="6">
        <v>167</v>
      </c>
      <c r="M211" s="6">
        <v>138</v>
      </c>
      <c r="N211" s="6">
        <v>55.533633999999999</v>
      </c>
      <c r="O211" s="6">
        <v>3012</v>
      </c>
      <c r="T211" s="6">
        <v>77.923240000000007</v>
      </c>
      <c r="U211" s="6">
        <v>340</v>
      </c>
      <c r="X211" s="6">
        <v>0.81248224000000002</v>
      </c>
      <c r="Y211" s="6">
        <v>54.097427000000003</v>
      </c>
      <c r="Z211" s="6">
        <v>10.321815000000001</v>
      </c>
      <c r="AE211" s="6" t="b">
        <v>0</v>
      </c>
      <c r="AF211" s="6" t="b">
        <v>0</v>
      </c>
      <c r="AH211" s="6"/>
      <c r="AM211" s="6">
        <v>340</v>
      </c>
      <c r="AO211" s="6">
        <v>52</v>
      </c>
      <c r="AP211" s="6">
        <v>155</v>
      </c>
      <c r="AQ211" s="6">
        <v>130</v>
      </c>
      <c r="AR211" s="6">
        <v>138</v>
      </c>
      <c r="AS211" s="6">
        <v>146</v>
      </c>
      <c r="AT211" s="6">
        <v>154</v>
      </c>
      <c r="AU211" s="6">
        <v>158</v>
      </c>
      <c r="AV211" s="6">
        <v>163</v>
      </c>
      <c r="AW211" s="6">
        <v>171</v>
      </c>
      <c r="AX211" s="6">
        <v>6474</v>
      </c>
      <c r="AY211" s="6">
        <v>3410</v>
      </c>
      <c r="AZ211" s="6">
        <v>2918</v>
      </c>
      <c r="BA211" s="6">
        <v>3105</v>
      </c>
      <c r="BB211" s="6">
        <v>1056</v>
      </c>
      <c r="BC211" s="6">
        <v>995</v>
      </c>
      <c r="BD211" s="6">
        <v>375</v>
      </c>
      <c r="BM211" s="6">
        <v>90</v>
      </c>
      <c r="BN211" s="6" t="b">
        <v>0</v>
      </c>
      <c r="BO211" s="6" t="b">
        <v>0</v>
      </c>
      <c r="BP211" s="6" t="b">
        <v>0</v>
      </c>
      <c r="BQ211" s="6">
        <v>20158</v>
      </c>
      <c r="BR211" s="6">
        <v>1200</v>
      </c>
      <c r="BS211" s="6">
        <v>600</v>
      </c>
      <c r="BT211" s="6">
        <v>30</v>
      </c>
      <c r="BU211" s="6">
        <v>164</v>
      </c>
      <c r="CA211" s="6" t="s">
        <v>858</v>
      </c>
      <c r="CB211" s="6" t="s">
        <v>859</v>
      </c>
      <c r="CD211" s="6" t="s">
        <v>196</v>
      </c>
      <c r="CE211" s="6">
        <v>18269654891</v>
      </c>
    </row>
    <row r="212" spans="1:83" x14ac:dyDescent="0.2">
      <c r="A212" s="6" t="s">
        <v>860</v>
      </c>
      <c r="B212" s="24">
        <v>45699.282465277778</v>
      </c>
      <c r="C212" s="6" t="s">
        <v>576</v>
      </c>
      <c r="D212" s="6" t="s">
        <v>193</v>
      </c>
      <c r="E212" s="6">
        <v>2837</v>
      </c>
      <c r="F212" s="6">
        <v>10030.799999999999</v>
      </c>
      <c r="G212" s="6">
        <v>2839</v>
      </c>
      <c r="H212" s="6">
        <v>205</v>
      </c>
      <c r="I212" s="6">
        <v>10.749000000000001</v>
      </c>
      <c r="J212" s="6">
        <v>3.5339999999999998</v>
      </c>
      <c r="K212" s="6" t="b">
        <v>1</v>
      </c>
      <c r="L212" s="6">
        <v>140</v>
      </c>
      <c r="M212" s="6">
        <v>118</v>
      </c>
      <c r="N212" s="6"/>
      <c r="O212" s="6">
        <v>420</v>
      </c>
      <c r="T212" s="6">
        <v>61.699579999999997</v>
      </c>
      <c r="U212" s="6">
        <v>30</v>
      </c>
      <c r="X212" s="6">
        <v>3.5357067999999998</v>
      </c>
      <c r="Y212" s="6">
        <v>11.758057000000001</v>
      </c>
      <c r="Z212" s="6">
        <v>2.4354431999999999</v>
      </c>
      <c r="AE212" s="6" t="b">
        <v>0</v>
      </c>
      <c r="AF212" s="6" t="b">
        <v>0</v>
      </c>
      <c r="AH212" s="6">
        <v>257</v>
      </c>
      <c r="AM212" s="6">
        <v>30</v>
      </c>
      <c r="AO212" s="6">
        <v>52</v>
      </c>
      <c r="AP212" s="6">
        <v>155</v>
      </c>
      <c r="AQ212" s="6">
        <v>124</v>
      </c>
      <c r="AR212" s="6">
        <v>138</v>
      </c>
      <c r="AS212" s="6">
        <v>144</v>
      </c>
      <c r="AT212" s="6">
        <v>154</v>
      </c>
      <c r="AU212" s="6">
        <v>158</v>
      </c>
      <c r="AV212" s="6">
        <v>163</v>
      </c>
      <c r="AW212" s="6">
        <v>190</v>
      </c>
      <c r="AX212" s="6">
        <v>1889</v>
      </c>
      <c r="AY212" s="6">
        <v>936</v>
      </c>
      <c r="AZ212" s="6">
        <v>15</v>
      </c>
      <c r="BA212" s="6">
        <v>0</v>
      </c>
      <c r="BB212" s="6">
        <v>0</v>
      </c>
      <c r="BC212" s="6">
        <v>0</v>
      </c>
      <c r="BD212" s="6">
        <v>0</v>
      </c>
      <c r="BM212" s="6">
        <v>90</v>
      </c>
      <c r="BN212" s="6" t="b">
        <v>0</v>
      </c>
      <c r="BO212" s="6" t="b">
        <v>0</v>
      </c>
      <c r="BP212" s="6" t="b">
        <v>0</v>
      </c>
      <c r="BQ212" s="6">
        <v>2837</v>
      </c>
      <c r="BR212" s="6">
        <v>0</v>
      </c>
      <c r="BS212" s="6">
        <v>0</v>
      </c>
      <c r="CA212" s="6" t="s">
        <v>861</v>
      </c>
      <c r="CB212" s="6" t="s">
        <v>840</v>
      </c>
      <c r="CD212" s="6" t="s">
        <v>196</v>
      </c>
      <c r="CE212" s="6">
        <v>18248818029</v>
      </c>
    </row>
    <row r="213" spans="1:83" x14ac:dyDescent="0.2">
      <c r="A213" s="6" t="s">
        <v>862</v>
      </c>
      <c r="B213" s="24">
        <v>45698.818599537037</v>
      </c>
      <c r="C213" s="6" t="s">
        <v>852</v>
      </c>
      <c r="D213" s="6" t="s">
        <v>853</v>
      </c>
      <c r="E213" s="6">
        <v>2048</v>
      </c>
      <c r="F213" s="6">
        <v>2660.47</v>
      </c>
      <c r="G213" s="6">
        <v>2049</v>
      </c>
      <c r="H213" s="6">
        <v>5</v>
      </c>
      <c r="I213" s="6">
        <v>1.5680000000000001</v>
      </c>
      <c r="J213" s="6">
        <v>1.298</v>
      </c>
      <c r="K213" s="6" t="b">
        <v>1</v>
      </c>
      <c r="L213" s="6">
        <v>85</v>
      </c>
      <c r="M213" s="6">
        <v>79</v>
      </c>
      <c r="N213" s="6">
        <v>55.369843000000003</v>
      </c>
      <c r="O213" s="6">
        <v>127</v>
      </c>
      <c r="T213" s="6">
        <v>26.516504000000001</v>
      </c>
      <c r="U213" s="6">
        <v>4</v>
      </c>
      <c r="X213" s="6">
        <v>1.2990576</v>
      </c>
      <c r="Y213" s="6">
        <v>8.9567329999999998</v>
      </c>
      <c r="Z213" s="6">
        <v>1.7712686</v>
      </c>
      <c r="AE213" s="6" t="b">
        <v>0</v>
      </c>
      <c r="AF213" s="6" t="b">
        <v>0</v>
      </c>
      <c r="AH213" s="6"/>
      <c r="AM213" s="6">
        <v>4</v>
      </c>
      <c r="AO213" s="6">
        <v>52</v>
      </c>
      <c r="AP213" s="6">
        <v>155</v>
      </c>
      <c r="AQ213" s="6">
        <v>130</v>
      </c>
      <c r="AR213" s="6">
        <v>138</v>
      </c>
      <c r="AS213" s="6">
        <v>146</v>
      </c>
      <c r="AT213" s="6">
        <v>154</v>
      </c>
      <c r="AU213" s="6">
        <v>158</v>
      </c>
      <c r="AV213" s="6">
        <v>163</v>
      </c>
      <c r="AW213" s="6">
        <v>171</v>
      </c>
      <c r="AX213" s="6">
        <v>2049</v>
      </c>
      <c r="AY213" s="6">
        <v>0</v>
      </c>
      <c r="AZ213" s="6">
        <v>0</v>
      </c>
      <c r="BA213" s="6">
        <v>0</v>
      </c>
      <c r="BB213" s="6">
        <v>0</v>
      </c>
      <c r="BC213" s="6">
        <v>0</v>
      </c>
      <c r="BD213" s="6">
        <v>0</v>
      </c>
      <c r="BM213" s="6">
        <v>90</v>
      </c>
      <c r="BN213" s="6" t="b">
        <v>0</v>
      </c>
      <c r="BO213" s="6" t="b">
        <v>0</v>
      </c>
      <c r="BP213" s="6" t="b">
        <v>0</v>
      </c>
      <c r="BQ213" s="6">
        <v>2048</v>
      </c>
      <c r="BR213" s="6">
        <v>0</v>
      </c>
      <c r="BS213" s="6">
        <v>0</v>
      </c>
      <c r="BT213" s="6"/>
      <c r="BU213" s="6"/>
      <c r="CA213" s="6" t="s">
        <v>863</v>
      </c>
      <c r="CB213" s="6" t="s">
        <v>864</v>
      </c>
      <c r="CD213" s="6" t="s">
        <v>196</v>
      </c>
      <c r="CE213" s="6">
        <v>18245036064</v>
      </c>
    </row>
    <row r="214" spans="1:83" x14ac:dyDescent="0.2">
      <c r="A214" s="6" t="s">
        <v>865</v>
      </c>
      <c r="B214" s="24">
        <v>45697.318333333336</v>
      </c>
      <c r="C214" s="6" t="s">
        <v>866</v>
      </c>
      <c r="D214" s="6" t="s">
        <v>853</v>
      </c>
      <c r="E214" s="6">
        <v>15537</v>
      </c>
      <c r="F214" s="6">
        <v>15368.46</v>
      </c>
      <c r="G214" s="6">
        <v>17543</v>
      </c>
      <c r="H214" s="6">
        <v>376</v>
      </c>
      <c r="I214" s="6">
        <v>1.7729999999999999</v>
      </c>
      <c r="J214" s="6">
        <v>0.876</v>
      </c>
      <c r="K214" s="6" t="b">
        <v>1</v>
      </c>
      <c r="L214" s="6">
        <v>131</v>
      </c>
      <c r="M214" s="6">
        <v>95</v>
      </c>
      <c r="N214" s="6">
        <v>54.71087</v>
      </c>
      <c r="O214" s="6">
        <v>1249</v>
      </c>
      <c r="T214" s="6">
        <v>38.705539999999999</v>
      </c>
      <c r="U214" s="6">
        <v>73</v>
      </c>
      <c r="X214" s="6">
        <v>0.98915240000000004</v>
      </c>
      <c r="Y214" s="6">
        <v>9.7179140000000004</v>
      </c>
      <c r="Z214" s="6">
        <v>1.7175667999999999</v>
      </c>
      <c r="AE214" s="6" t="b">
        <v>0</v>
      </c>
      <c r="AF214" s="6" t="b">
        <v>0</v>
      </c>
      <c r="AH214" s="6"/>
      <c r="AM214" s="6">
        <v>73</v>
      </c>
      <c r="AO214" s="6">
        <v>52</v>
      </c>
      <c r="AP214" s="6">
        <v>155</v>
      </c>
      <c r="AQ214" s="6">
        <v>130</v>
      </c>
      <c r="AR214" s="6">
        <v>138</v>
      </c>
      <c r="AS214" s="6">
        <v>146</v>
      </c>
      <c r="AT214" s="6">
        <v>154</v>
      </c>
      <c r="AU214" s="6">
        <v>158</v>
      </c>
      <c r="AV214" s="6">
        <v>163</v>
      </c>
      <c r="AW214" s="6">
        <v>171</v>
      </c>
      <c r="AX214" s="6">
        <v>15347</v>
      </c>
      <c r="AY214" s="6">
        <v>8</v>
      </c>
      <c r="AZ214" s="6">
        <v>0</v>
      </c>
      <c r="BA214" s="6">
        <v>0</v>
      </c>
      <c r="BB214" s="6">
        <v>0</v>
      </c>
      <c r="BC214" s="6">
        <v>0</v>
      </c>
      <c r="BD214" s="6">
        <v>0</v>
      </c>
      <c r="BM214" s="6">
        <v>90</v>
      </c>
      <c r="BN214" s="6" t="b">
        <v>0</v>
      </c>
      <c r="BO214" s="6" t="b">
        <v>0</v>
      </c>
      <c r="BP214" s="6" t="b">
        <v>0</v>
      </c>
      <c r="BQ214" s="6">
        <v>17542</v>
      </c>
      <c r="BR214" s="6">
        <v>1200</v>
      </c>
      <c r="BS214" s="6">
        <v>600</v>
      </c>
      <c r="BT214" s="6"/>
      <c r="BU214" s="6"/>
      <c r="CA214" s="6" t="s">
        <v>867</v>
      </c>
      <c r="CB214" s="6" t="s">
        <v>868</v>
      </c>
      <c r="CD214" s="6" t="s">
        <v>196</v>
      </c>
      <c r="CE214" s="6">
        <v>18234490290</v>
      </c>
    </row>
    <row r="215" spans="1:83" x14ac:dyDescent="0.2">
      <c r="A215" s="6" t="s">
        <v>869</v>
      </c>
      <c r="B215" s="24">
        <v>45696.340509259258</v>
      </c>
      <c r="C215" s="6" t="s">
        <v>870</v>
      </c>
      <c r="D215" s="6" t="s">
        <v>220</v>
      </c>
      <c r="E215" s="6">
        <v>8266</v>
      </c>
      <c r="F215" s="6">
        <v>52773.01</v>
      </c>
      <c r="G215" s="6">
        <v>9898</v>
      </c>
      <c r="H215" s="6">
        <v>711</v>
      </c>
      <c r="I215" s="6">
        <v>18.670999999999999</v>
      </c>
      <c r="J215" s="6">
        <v>6.3680000000000003</v>
      </c>
      <c r="K215" s="6" t="b">
        <v>1</v>
      </c>
      <c r="L215" s="6">
        <v>171</v>
      </c>
      <c r="M215" s="6">
        <v>132</v>
      </c>
      <c r="O215" s="6">
        <v>1496</v>
      </c>
      <c r="T215" s="6">
        <v>83.66095</v>
      </c>
      <c r="U215" s="6">
        <v>161</v>
      </c>
      <c r="X215" s="6">
        <v>6.384347</v>
      </c>
      <c r="AE215" s="6" t="b">
        <v>0</v>
      </c>
      <c r="AF215" s="6" t="b">
        <v>0</v>
      </c>
      <c r="AH215" s="6">
        <v>257</v>
      </c>
      <c r="AM215" s="6">
        <v>161</v>
      </c>
      <c r="AO215" s="6">
        <v>52</v>
      </c>
      <c r="AP215" s="6">
        <v>155</v>
      </c>
      <c r="AQ215" s="6">
        <v>124</v>
      </c>
      <c r="AR215" s="6">
        <v>138</v>
      </c>
      <c r="AS215" s="6">
        <v>144</v>
      </c>
      <c r="AT215" s="6">
        <v>154</v>
      </c>
      <c r="AU215" s="6">
        <v>158</v>
      </c>
      <c r="AV215" s="6">
        <v>163</v>
      </c>
      <c r="AW215" s="6">
        <v>190</v>
      </c>
      <c r="AX215" s="6">
        <v>3440</v>
      </c>
      <c r="AY215" s="6">
        <v>890</v>
      </c>
      <c r="AZ215" s="6">
        <v>303</v>
      </c>
      <c r="BA215" s="6">
        <v>926</v>
      </c>
      <c r="BB215" s="6">
        <v>799</v>
      </c>
      <c r="BC215" s="6">
        <v>1179</v>
      </c>
      <c r="BD215" s="6">
        <v>752</v>
      </c>
      <c r="BM215" s="6">
        <v>90</v>
      </c>
      <c r="BN215" s="6" t="b">
        <v>0</v>
      </c>
      <c r="BO215" s="6" t="b">
        <v>0</v>
      </c>
      <c r="BP215" s="6" t="b">
        <v>0</v>
      </c>
      <c r="BQ215" s="6">
        <v>8281</v>
      </c>
      <c r="BR215" s="6">
        <v>1200</v>
      </c>
      <c r="BS215" s="6">
        <v>600</v>
      </c>
      <c r="BT215" s="6">
        <v>27</v>
      </c>
      <c r="BU215" s="6">
        <v>157</v>
      </c>
      <c r="CA215" s="6" t="s">
        <v>871</v>
      </c>
      <c r="CB215" s="6" t="s">
        <v>872</v>
      </c>
      <c r="CD215" s="6" t="s">
        <v>196</v>
      </c>
      <c r="CE215" s="6">
        <v>18224304618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Intervals_Import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Patjane</cp:lastModifiedBy>
  <dcterms:modified xsi:type="dcterms:W3CDTF">2026-06-02T22:45:34Z</dcterms:modified>
</cp:coreProperties>
</file>